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torate\Bich_PhD\research\3_WaPOR\Notebooks\0_insitu\"/>
    </mc:Choice>
  </mc:AlternateContent>
  <xr:revisionPtr revIDLastSave="0" documentId="13_ncr:1_{0EACF050-F692-4733-AB19-8289352483E9}" xr6:coauthVersionLast="47" xr6:coauthVersionMax="47" xr10:uidLastSave="{00000000-0000-0000-0000-000000000000}"/>
  <bookViews>
    <workbookView xWindow="-120" yWindow="-120" windowWidth="29040" windowHeight="15720" tabRatio="690" xr2:uid="{00000000-000D-0000-FFFF-FFFF00000000}"/>
  </bookViews>
  <sheets>
    <sheet name="Main" sheetId="2" r:id="rId1"/>
    <sheet name="Koppen-Geiger" sheetId="9" r:id="rId2"/>
    <sheet name="272 sites" sheetId="1" r:id="rId3"/>
    <sheet name="AMF" sheetId="3" r:id="rId4"/>
    <sheet name="OzFlux" sheetId="8" r:id="rId5"/>
    <sheet name="ICOS" sheetId="5" r:id="rId6"/>
    <sheet name="FLUXNET201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" i="2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" i="9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2" i="5"/>
  <c r="D60" i="8"/>
  <c r="D58" i="8"/>
  <c r="D43" i="8"/>
  <c r="D28" i="8"/>
  <c r="D7" i="8"/>
  <c r="D5" i="8"/>
  <c r="G220" i="2" l="1"/>
  <c r="G221" i="2"/>
  <c r="G222" i="2"/>
  <c r="G154" i="2"/>
  <c r="G157" i="2"/>
  <c r="G159" i="2"/>
  <c r="G161" i="2"/>
  <c r="G162" i="2"/>
  <c r="G163" i="2"/>
  <c r="G164" i="2"/>
  <c r="G165" i="2"/>
  <c r="G166" i="2"/>
  <c r="G171" i="2"/>
  <c r="G172" i="2"/>
  <c r="G173" i="2"/>
  <c r="G174" i="2"/>
  <c r="G175" i="2"/>
  <c r="G178" i="2"/>
  <c r="G179" i="2"/>
  <c r="G180" i="2"/>
  <c r="G181" i="2"/>
  <c r="G183" i="2"/>
  <c r="G185" i="2"/>
  <c r="G189" i="2"/>
  <c r="G192" i="2"/>
  <c r="G194" i="2"/>
  <c r="G196" i="2"/>
  <c r="G201" i="2"/>
  <c r="G202" i="2"/>
  <c r="G205" i="2"/>
  <c r="G207" i="2"/>
  <c r="G211" i="2"/>
  <c r="G213" i="2"/>
  <c r="G214" i="2"/>
  <c r="G216" i="2"/>
  <c r="G217" i="2"/>
  <c r="G218" i="2"/>
  <c r="G219" i="2"/>
  <c r="G147" i="2"/>
  <c r="G148" i="2"/>
  <c r="G149" i="2"/>
  <c r="G150" i="2"/>
  <c r="G152" i="2"/>
  <c r="G135" i="2"/>
  <c r="G137" i="2"/>
  <c r="G138" i="2"/>
  <c r="G139" i="2"/>
  <c r="G140" i="2"/>
  <c r="G141" i="2"/>
  <c r="G14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Bich Tran</author>
  </authors>
  <commentList>
    <comment ref="G1" authorId="0" shapeId="0" xr:uid="{CDE144C5-FDB8-4BA0-91C0-35104582E61E}">
      <text>
        <r>
          <rPr>
            <b/>
            <sz val="9"/>
            <color indexed="81"/>
            <rFont val="Tahoma"/>
            <family val="2"/>
          </rPr>
          <t>Bich Tran:</t>
        </r>
        <r>
          <rPr>
            <sz val="9"/>
            <color indexed="81"/>
            <rFont val="Tahoma"/>
            <family val="2"/>
          </rPr>
          <t xml:space="preserve">
in bold: classified based on site description
normal: from FLUXNET2015 metadata
</t>
        </r>
      </text>
    </comment>
    <comment ref="G215" authorId="0" shapeId="0" xr:uid="{7F37231C-7DE8-42E7-8051-ED04D5765A5F}">
      <text>
        <r>
          <rPr>
            <b/>
            <sz val="9"/>
            <color indexed="81"/>
            <rFont val="Tahoma"/>
            <family val="2"/>
          </rPr>
          <t>Bich Tran:</t>
        </r>
        <r>
          <rPr>
            <sz val="9"/>
            <color indexed="81"/>
            <rFont val="Tahoma"/>
            <family val="2"/>
          </rPr>
          <t xml:space="preserve">
vineyard</t>
        </r>
      </text>
    </comment>
  </commentList>
</comments>
</file>

<file path=xl/sharedStrings.xml><?xml version="1.0" encoding="utf-8"?>
<sst xmlns="http://schemas.openxmlformats.org/spreadsheetml/2006/main" count="13966" uniqueCount="3812">
  <si>
    <t>Site</t>
  </si>
  <si>
    <t>Period</t>
  </si>
  <si>
    <t>Dataset</t>
  </si>
  <si>
    <t>AR-TF1</t>
  </si>
  <si>
    <t>CA-Cbo</t>
  </si>
  <si>
    <t>CA-DB2</t>
  </si>
  <si>
    <t>CA-DBB</t>
  </si>
  <si>
    <t>CA-ER1</t>
  </si>
  <si>
    <t>CA-LP1</t>
  </si>
  <si>
    <t>PE-QFR</t>
  </si>
  <si>
    <t>US-ALQ</t>
  </si>
  <si>
    <t>US-ARM</t>
  </si>
  <si>
    <t>US-Bar</t>
  </si>
  <si>
    <t>US-Bi1</t>
  </si>
  <si>
    <t>US-Bi2</t>
  </si>
  <si>
    <t>US-BRG</t>
  </si>
  <si>
    <t>US-BZB</t>
  </si>
  <si>
    <t>US-BZF</t>
  </si>
  <si>
    <t>US-BZo</t>
  </si>
  <si>
    <t>US-BZS</t>
  </si>
  <si>
    <t>US-CF1</t>
  </si>
  <si>
    <t>US-CF2</t>
  </si>
  <si>
    <t>US-CF3</t>
  </si>
  <si>
    <t>US-CF4</t>
  </si>
  <si>
    <t>US-CS1</t>
  </si>
  <si>
    <t>US-CS2</t>
  </si>
  <si>
    <t>US-CS3</t>
  </si>
  <si>
    <t>US-CS4</t>
  </si>
  <si>
    <t>US-DFC</t>
  </si>
  <si>
    <t>US-DS3</t>
  </si>
  <si>
    <t>US-EDN</t>
  </si>
  <si>
    <t>US-EML</t>
  </si>
  <si>
    <t>US-GLE</t>
  </si>
  <si>
    <t>US-Ha1</t>
  </si>
  <si>
    <t>US-HB1</t>
  </si>
  <si>
    <t>US-HB2</t>
  </si>
  <si>
    <t>US-HB3</t>
  </si>
  <si>
    <t>US-Hn2</t>
  </si>
  <si>
    <t>US-Hn3</t>
  </si>
  <si>
    <t>US-Ho2</t>
  </si>
  <si>
    <t>US-HWB</t>
  </si>
  <si>
    <t>US-ICh</t>
  </si>
  <si>
    <t>US-ICs</t>
  </si>
  <si>
    <t>US-ICt</t>
  </si>
  <si>
    <t>US-Jo1</t>
  </si>
  <si>
    <t>US-Jo2</t>
  </si>
  <si>
    <t>US-KFS</t>
  </si>
  <si>
    <t>US-KLS</t>
  </si>
  <si>
    <t>US-Kon</t>
  </si>
  <si>
    <t>US-KS3</t>
  </si>
  <si>
    <t>US-Me2</t>
  </si>
  <si>
    <t>US-Me6</t>
  </si>
  <si>
    <t>US-MMS</t>
  </si>
  <si>
    <t>US-Mo1</t>
  </si>
  <si>
    <t>US-Mo2</t>
  </si>
  <si>
    <t>US-Mo3</t>
  </si>
  <si>
    <t>US-MOz</t>
  </si>
  <si>
    <t>US-Mpj</t>
  </si>
  <si>
    <t>US-Myb</t>
  </si>
  <si>
    <t>US-NC3</t>
  </si>
  <si>
    <t>US-NC4</t>
  </si>
  <si>
    <t>US-Ne1</t>
  </si>
  <si>
    <t>US-NGB</t>
  </si>
  <si>
    <t>US-NGC</t>
  </si>
  <si>
    <t>US-ONA</t>
  </si>
  <si>
    <t>US-Pnp</t>
  </si>
  <si>
    <t>US-RGA</t>
  </si>
  <si>
    <t>US-RGB</t>
  </si>
  <si>
    <t>US-RGo</t>
  </si>
  <si>
    <t>US-Rls</t>
  </si>
  <si>
    <t>US-Rms</t>
  </si>
  <si>
    <t>US-Ro4</t>
  </si>
  <si>
    <t>US-Ro5</t>
  </si>
  <si>
    <t>US-Ro6</t>
  </si>
  <si>
    <t>US-Rpf</t>
  </si>
  <si>
    <t>US-Rwf</t>
  </si>
  <si>
    <t>US-Rws</t>
  </si>
  <si>
    <t>US-Seg</t>
  </si>
  <si>
    <t>US-Ses</t>
  </si>
  <si>
    <t>US-Sne</t>
  </si>
  <si>
    <t>US-Snf</t>
  </si>
  <si>
    <t>US-SRG</t>
  </si>
  <si>
    <t>US-SRS</t>
  </si>
  <si>
    <t>US-Syv</t>
  </si>
  <si>
    <t>US-Ton</t>
  </si>
  <si>
    <t>US-Tw1</t>
  </si>
  <si>
    <t>US-Tw3</t>
  </si>
  <si>
    <t>US-Tw4</t>
  </si>
  <si>
    <t>US-Tw5</t>
  </si>
  <si>
    <t>US-UMB</t>
  </si>
  <si>
    <t>US-UMd</t>
  </si>
  <si>
    <t>US-Var</t>
  </si>
  <si>
    <t>US-Vcm</t>
  </si>
  <si>
    <t>US-Vcp</t>
  </si>
  <si>
    <t>US-Whs</t>
  </si>
  <si>
    <t>US-Wi0</t>
  </si>
  <si>
    <t>US-Wjs</t>
  </si>
  <si>
    <t>US-Wkg</t>
  </si>
  <si>
    <t>US-xAB</t>
  </si>
  <si>
    <t>US-xAE</t>
  </si>
  <si>
    <t>US-xBA</t>
  </si>
  <si>
    <t>US-xBL</t>
  </si>
  <si>
    <t>US-xBN</t>
  </si>
  <si>
    <t>US-xBR</t>
  </si>
  <si>
    <t>US-xCL</t>
  </si>
  <si>
    <t>US-xCP</t>
  </si>
  <si>
    <t>US-xDC</t>
  </si>
  <si>
    <t>US-xDJ</t>
  </si>
  <si>
    <t>US-xDL</t>
  </si>
  <si>
    <t>US-xDS</t>
  </si>
  <si>
    <t>US-xGR</t>
  </si>
  <si>
    <t>US-xHA</t>
  </si>
  <si>
    <t>US-xHE</t>
  </si>
  <si>
    <t>US-xJE</t>
  </si>
  <si>
    <t>US-xJR</t>
  </si>
  <si>
    <t>US-xKA</t>
  </si>
  <si>
    <t>US-xKZ</t>
  </si>
  <si>
    <t>US-xMB</t>
  </si>
  <si>
    <t>US-xML</t>
  </si>
  <si>
    <t>US-xNG</t>
  </si>
  <si>
    <t>US-xNQ</t>
  </si>
  <si>
    <t>US-xRM</t>
  </si>
  <si>
    <t>US-xSB</t>
  </si>
  <si>
    <t>US-xSC</t>
  </si>
  <si>
    <t>US-xSE</t>
  </si>
  <si>
    <t>US-xSJ</t>
  </si>
  <si>
    <t>US-xSL</t>
  </si>
  <si>
    <t>US-xSR</t>
  </si>
  <si>
    <t>US-xST</t>
  </si>
  <si>
    <t>US-xTA</t>
  </si>
  <si>
    <t>US-xTR</t>
  </si>
  <si>
    <t>US-xUK</t>
  </si>
  <si>
    <t>US-xUN</t>
  </si>
  <si>
    <t>US-xWD</t>
  </si>
  <si>
    <t>US-xYE</t>
  </si>
  <si>
    <t>AU-Adr</t>
  </si>
  <si>
    <t>AU-ASM</t>
  </si>
  <si>
    <t>AU-Boy</t>
  </si>
  <si>
    <t>AU-Cpr</t>
  </si>
  <si>
    <t>AU-Cum</t>
  </si>
  <si>
    <t>AU-DaS</t>
  </si>
  <si>
    <t>AU-Dry</t>
  </si>
  <si>
    <t>AU-GWW</t>
  </si>
  <si>
    <t>AU-Lit</t>
  </si>
  <si>
    <t>AU-Lon</t>
  </si>
  <si>
    <t>AU-Rgf</t>
  </si>
  <si>
    <t>AU-Stp</t>
  </si>
  <si>
    <t>AU-War</t>
  </si>
  <si>
    <t>AU-Whr</t>
  </si>
  <si>
    <t>AU-Wom</t>
  </si>
  <si>
    <t>BE-Bra</t>
  </si>
  <si>
    <t>BE-Lon</t>
  </si>
  <si>
    <t>BE-Vie</t>
  </si>
  <si>
    <t>CH-Aws</t>
  </si>
  <si>
    <t>CH-Cha</t>
  </si>
  <si>
    <t>CH-Dav</t>
  </si>
  <si>
    <t>CH-Fru</t>
  </si>
  <si>
    <t>CH-Lae</t>
  </si>
  <si>
    <t>CH-Oe2</t>
  </si>
  <si>
    <t>CZ-BK1</t>
  </si>
  <si>
    <t>CZ-Lnz</t>
  </si>
  <si>
    <t>CZ-RAJ</t>
  </si>
  <si>
    <t>CZ-Stn</t>
  </si>
  <si>
    <t>CZ-wet</t>
  </si>
  <si>
    <t>DE-Akm</t>
  </si>
  <si>
    <t>DE-Geb</t>
  </si>
  <si>
    <t>DE-Gri</t>
  </si>
  <si>
    <t>DE-Hai</t>
  </si>
  <si>
    <t>DE-HoH</t>
  </si>
  <si>
    <t>DE-Hte</t>
  </si>
  <si>
    <t>DE-Hzd</t>
  </si>
  <si>
    <t>DE-Kli</t>
  </si>
  <si>
    <t>DE-Obe</t>
  </si>
  <si>
    <t>DE-RuR</t>
  </si>
  <si>
    <t>DE-RuS</t>
  </si>
  <si>
    <t>DE-RuW</t>
  </si>
  <si>
    <t>DE-Tha</t>
  </si>
  <si>
    <t>DK-Sor</t>
  </si>
  <si>
    <t>ES-Abr</t>
  </si>
  <si>
    <t>ES-LM1</t>
  </si>
  <si>
    <t>ES-LM2</t>
  </si>
  <si>
    <t>FI-Hyy</t>
  </si>
  <si>
    <t>FI-Let</t>
  </si>
  <si>
    <t>FI-Sii</t>
  </si>
  <si>
    <t>FI-Var</t>
  </si>
  <si>
    <t>FR-Bil</t>
  </si>
  <si>
    <t>FR-EM2</t>
  </si>
  <si>
    <t>FR-Hes</t>
  </si>
  <si>
    <t>IT-BCi</t>
  </si>
  <si>
    <t>IT-Cp2</t>
  </si>
  <si>
    <t>IT-Lsn</t>
  </si>
  <si>
    <t>IT-SR2</t>
  </si>
  <si>
    <t>IT-Tor</t>
  </si>
  <si>
    <t>NL-Loo</t>
  </si>
  <si>
    <t>RU-Fy2</t>
  </si>
  <si>
    <t>RU-Fyo</t>
  </si>
  <si>
    <t>SE-Deg</t>
  </si>
  <si>
    <t>SE-Htm</t>
  </si>
  <si>
    <t>SE-Lnn</t>
  </si>
  <si>
    <t>SE-Nor</t>
  </si>
  <si>
    <t>SE-Ros</t>
  </si>
  <si>
    <t>SE-Svb</t>
  </si>
  <si>
    <t>BE-Dor</t>
  </si>
  <si>
    <t>BE-Lcr</t>
  </si>
  <si>
    <t>BE-Maa</t>
  </si>
  <si>
    <t>CZ-KrP</t>
  </si>
  <si>
    <t>DK-Gds</t>
  </si>
  <si>
    <t>ES-Agu</t>
  </si>
  <si>
    <t>ES-Cnd</t>
  </si>
  <si>
    <t>ES-LJu</t>
  </si>
  <si>
    <t>FI-Ken</t>
  </si>
  <si>
    <t>FI-Qvd</t>
  </si>
  <si>
    <t>FR-Aur</t>
  </si>
  <si>
    <t>FR-FBn</t>
  </si>
  <si>
    <t>FR-Fon</t>
  </si>
  <si>
    <t>FR-Gri</t>
  </si>
  <si>
    <t>FR-Lam</t>
  </si>
  <si>
    <t>FR-LGt</t>
  </si>
  <si>
    <t>FR-Tou</t>
  </si>
  <si>
    <t>GF-Guy</t>
  </si>
  <si>
    <t>GL-Dsk</t>
  </si>
  <si>
    <t>IE-Cra</t>
  </si>
  <si>
    <t>IL-Yat</t>
  </si>
  <si>
    <t>IT-BFt</t>
  </si>
  <si>
    <t>IT-Lav</t>
  </si>
  <si>
    <t>IT-MBo</t>
  </si>
  <si>
    <t>IT-Ren</t>
  </si>
  <si>
    <t>2016-2018</t>
  </si>
  <si>
    <t>1994-2020</t>
  </si>
  <si>
    <t>2019-2020</t>
  </si>
  <si>
    <t>2014-2020</t>
  </si>
  <si>
    <t>2015-2020</t>
  </si>
  <si>
    <t>2007-2020</t>
  </si>
  <si>
    <t>2018-2019</t>
  </si>
  <si>
    <t>2015-2021</t>
  </si>
  <si>
    <t>2003-2020</t>
  </si>
  <si>
    <t>2004-2021</t>
  </si>
  <si>
    <t>2016-2021</t>
  </si>
  <si>
    <t>2017-2021</t>
  </si>
  <si>
    <t>2016-2020</t>
  </si>
  <si>
    <t>2011-2021</t>
  </si>
  <si>
    <t>2018-2021</t>
  </si>
  <si>
    <t>2010-2021</t>
  </si>
  <si>
    <t>2017-2020</t>
  </si>
  <si>
    <t>2020-2021</t>
  </si>
  <si>
    <t>2021-2021</t>
  </si>
  <si>
    <t>2008-2020</t>
  </si>
  <si>
    <t>2005-2020</t>
  </si>
  <si>
    <t>1991-2020</t>
  </si>
  <si>
    <t>2019-2019</t>
  </si>
  <si>
    <t>2019-2021</t>
  </si>
  <si>
    <t>2015-2018</t>
  </si>
  <si>
    <t>2017-2018</t>
  </si>
  <si>
    <t>1999-2020</t>
  </si>
  <si>
    <t>2007-2021</t>
  </si>
  <si>
    <t>2010-2020</t>
  </si>
  <si>
    <t>2007-2019</t>
  </si>
  <si>
    <t>2012-2019</t>
  </si>
  <si>
    <t>2004-2019</t>
  </si>
  <si>
    <t>2018-2018</t>
  </si>
  <si>
    <t>2002-2020</t>
  </si>
  <si>
    <t>2013-2021</t>
  </si>
  <si>
    <t>2009-2021</t>
  </si>
  <si>
    <t>2001-2020</t>
  </si>
  <si>
    <t>2017-2019</t>
  </si>
  <si>
    <t>2014-2021</t>
  </si>
  <si>
    <t>2008-2021</t>
  </si>
  <si>
    <t>2018-2020</t>
  </si>
  <si>
    <t>2011-2018</t>
  </si>
  <si>
    <t>2001-2021</t>
  </si>
  <si>
    <t>2011-2020</t>
  </si>
  <si>
    <t>2013-2018</t>
  </si>
  <si>
    <t>2000-2021</t>
  </si>
  <si>
    <t>2002-2002</t>
  </si>
  <si>
    <t>2007-2009</t>
  </si>
  <si>
    <t>2010-2022</t>
  </si>
  <si>
    <t>2017-2022</t>
  </si>
  <si>
    <t>2011-2022</t>
  </si>
  <si>
    <t>2014-2022</t>
  </si>
  <si>
    <t>2008-2022</t>
  </si>
  <si>
    <t>2013-2022</t>
  </si>
  <si>
    <t>2015-2022</t>
  </si>
  <si>
    <t>2018-2022</t>
  </si>
  <si>
    <t>2009-2022</t>
  </si>
  <si>
    <t>1996-2018</t>
  </si>
  <si>
    <t>2004-2018</t>
  </si>
  <si>
    <t>2010-2018</t>
  </si>
  <si>
    <t>2005-2018</t>
  </si>
  <si>
    <t>1997-2018</t>
  </si>
  <si>
    <t>2012-2018</t>
  </si>
  <si>
    <t>2006-2018</t>
  </si>
  <si>
    <t>2009-2018</t>
  </si>
  <si>
    <t>2001-2018</t>
  </si>
  <si>
    <t>2000-2018</t>
  </si>
  <si>
    <t>2008-2018</t>
  </si>
  <si>
    <t>2014-2018</t>
  </si>
  <si>
    <t>1998-2018</t>
  </si>
  <si>
    <t>1996-2020</t>
  </si>
  <si>
    <t>2004-2020</t>
  </si>
  <si>
    <t>2006-2020</t>
  </si>
  <si>
    <t>1997-2020</t>
  </si>
  <si>
    <t>2012-2020</t>
  </si>
  <si>
    <t>2009-2020</t>
  </si>
  <si>
    <t>2000-2020</t>
  </si>
  <si>
    <t>2020-2020</t>
  </si>
  <si>
    <t>2013-2020</t>
  </si>
  <si>
    <t>1998-2020</t>
  </si>
  <si>
    <t>AMF</t>
  </si>
  <si>
    <t>OzFlux</t>
  </si>
  <si>
    <t>ICOS-Drought</t>
  </si>
  <si>
    <t>ICOS-WW</t>
  </si>
  <si>
    <t>x</t>
  </si>
  <si>
    <t>y</t>
  </si>
  <si>
    <t>ICOS-both datasets</t>
  </si>
  <si>
    <t>Site ID</t>
  </si>
  <si>
    <t>Name</t>
  </si>
  <si>
    <t>Principal Investigator</t>
  </si>
  <si>
    <t>Data Use Policy</t>
  </si>
  <si>
    <t>AmeriFlux BASE Data</t>
  </si>
  <si>
    <t>AmeriFlux FLUXNET Data</t>
  </si>
  <si>
    <t>Vegetation Abbreviation (IGBP)</t>
  </si>
  <si>
    <t>Vegetation Description (IGBP)</t>
  </si>
  <si>
    <t>Climate Class Abbreviation (Koeppen)</t>
  </si>
  <si>
    <t>Climate Class Description (Koeppen)</t>
  </si>
  <si>
    <t>Mean Average Precipitation (mm)</t>
  </si>
  <si>
    <t>Mean Average Temperature (degrees C)</t>
  </si>
  <si>
    <t>Country</t>
  </si>
  <si>
    <t>Latitude (degrees)</t>
  </si>
  <si>
    <t>Longitude (degrees)</t>
  </si>
  <si>
    <t>Elevation (m)</t>
  </si>
  <si>
    <t>Number of years of AmeriFlux BASE data</t>
  </si>
  <si>
    <t>AmeriFlux BASE Data Start</t>
  </si>
  <si>
    <t>AmeriFlux BASE Data End</t>
  </si>
  <si>
    <t>Years of AmeriFlux BASE Data</t>
  </si>
  <si>
    <t>AmeriFlux BASE DOI</t>
  </si>
  <si>
    <t>AmeriFlux FLUXNET Data Start</t>
  </si>
  <si>
    <t>AmeriFlux FLUXNET Data End</t>
  </si>
  <si>
    <t>Years of AmeriFlux FLUXNET Data</t>
  </si>
  <si>
    <t>AmeriFlux FLUXNET DOI</t>
  </si>
  <si>
    <t>Site Start</t>
  </si>
  <si>
    <t>Site End</t>
  </si>
  <si>
    <t>BASE variables available</t>
  </si>
  <si>
    <t>FLUXNET variables available</t>
  </si>
  <si>
    <t>AR-Bal</t>
  </si>
  <si>
    <t>Balcarce BA</t>
  </si>
  <si>
    <t>Natalia Edith Tonti (ntonti@at.fcen.uba.ar)</t>
  </si>
  <si>
    <t>CC-BY-4.0</t>
  </si>
  <si>
    <t>Yes</t>
  </si>
  <si>
    <t>No</t>
  </si>
  <si>
    <t>CRO</t>
  </si>
  <si>
    <t>Croplands: Lands covered with temporary crops followed by harvest and a bare soil period (e.g., single and multiple cropping systems). Note that perennial woody crops will be classified as the appropriate forest or shrub land cover type.</t>
  </si>
  <si>
    <t>Cfb</t>
  </si>
  <si>
    <t>Marine West Coast: mild with no dry season, warm summer</t>
  </si>
  <si>
    <t>Argentina</t>
  </si>
  <si>
    <t>2012, 2013</t>
  </si>
  <si>
    <t>https://doi.org/10.17190/AMF/2315764</t>
  </si>
  <si>
    <t>CO2, CO2_SIGMA, FC, FC_SSITC_TEST, G, H, H2O, H2O_SIGMA, H_SSITC_TEST, LE, LE_SSITC_TEST, MO_LENGTH, NEE, P, PA, PPFD_IN, RH, SW_IN, TA, TAU_SSITC_TEST, TS, T_SONIC, T_SONIC_SIGMA, U_SIGMA, USTAR, V_SIGMA, WD, WS, W_SIGMA, ZL</t>
  </si>
  <si>
    <t>AR-CCa</t>
  </si>
  <si>
    <t>Carlos Casares agriculture</t>
  </si>
  <si>
    <t>Gabriela Posse (posse.gabriela@gmail.com)</t>
  </si>
  <si>
    <t>Cfa</t>
  </si>
  <si>
    <t>Humid Subtropical: mild with no dry season, hot summer</t>
  </si>
  <si>
    <t>2012, 2013, 2014, 2015, 2016, 2017, 2018, 2019, 2020</t>
  </si>
  <si>
    <t>https://doi.org/10.17190/AMF/1880910</t>
  </si>
  <si>
    <t>CO2, CO2_MIXING_RATIO, CO2_SIGMA, FC, FETCH_70, FETCH_80, FETCH_90, FETCH_MAX, H, H2O, H2O_MIXING_RATIO, H2O_SIGMA, LE, MO_LENGTH, PA, PPFD_IN, RH, TA, TAU, T_SONIC, T_SONIC_SIGMA, U_SIGMA, USTAR, VPD, V_SIGMA, WD, WS, W_SIGMA, WS_MAX, ZL</t>
  </si>
  <si>
    <t>AR-CCg</t>
  </si>
  <si>
    <t>Carlos Casares grassland</t>
  </si>
  <si>
    <t>GRA</t>
  </si>
  <si>
    <t>Grasslands: Lands with herbaceous types of cover. Tree and shrub cover is less than 10%. Permanent wetlands lands with a permanent mixture of water and herbaceous or woody vegetation. The vegetation can be present in either salt, brackish, or fresh water.</t>
  </si>
  <si>
    <t>2018, 2019, 2020, 2021, 2022, 2023</t>
  </si>
  <si>
    <t>https://doi.org/10.17190/AMF/1865474</t>
  </si>
  <si>
    <t>https://doi.org/10.17190/AMF/2469434</t>
  </si>
  <si>
    <t>AR-Cel</t>
  </si>
  <si>
    <t>CELPA Mar Chiquita BA</t>
  </si>
  <si>
    <t>Paulina Martinetto (pmartin@mdp.edu.ar)</t>
  </si>
  <si>
    <t>Legacy</t>
  </si>
  <si>
    <t>WET</t>
  </si>
  <si>
    <t>Permanent Wetlands: Lands with a permanent mixture of water and herbaceous or woody vegetation that cover extensive areas. The vegetation can be present in either salt, brackish, or fresh water</t>
  </si>
  <si>
    <t>https://doi.org/10.17190/AMF/2204054</t>
  </si>
  <si>
    <t>CO2, CO2_SIGMA, FC, FC_SSITC_TEST, G, H, H2O, H2O_SIGMA, H_SSITC_TEST, LE, LE_SSITC_TEST, MO_LENGTH, NEE, P, PA, PPFD_IN, RH, SC, SWC, SW_IN, TA, TAU_SSITC_TEST, TS, T_SONIC, T_SONIC_SIGMA, U_SIGMA, USTAR, V_SIGMA, WD, WS, W_SIGMA, ZL</t>
  </si>
  <si>
    <t>AR-Rom</t>
  </si>
  <si>
    <t>Romano Mar Chiquita BA</t>
  </si>
  <si>
    <t>2014, 2015</t>
  </si>
  <si>
    <t>https://doi.org/10.17190/AMF/2315765</t>
  </si>
  <si>
    <t>Rio Moat bog</t>
  </si>
  <si>
    <t>Veronica Pancotto (pancotto@cadic-conicet.gob.ar)</t>
  </si>
  <si>
    <t>2016, 2017, 2018</t>
  </si>
  <si>
    <t>https://doi.org/10.17190/AMF/1543389</t>
  </si>
  <si>
    <t>https://doi.org/10.17190/AMF/1818370</t>
  </si>
  <si>
    <t>CO2, FC, FC_SSITC_TEST, H, H_SSITC_TEST, LE, LE_SSITC_TEST, PA, PPFD_IN, RH, SW_IN, TA, USTAR, WD, WS</t>
  </si>
  <si>
    <t>AR-TF2</t>
  </si>
  <si>
    <t>Rio Pipo bog</t>
  </si>
  <si>
    <t>https://doi.org/10.17190/AMF/1543388</t>
  </si>
  <si>
    <t>FC, FC_SSITC_TEST, H, H_SSITC_TEST, LE, LE_SSITC_TEST, PPFD_IN, RH, SW_IN, TA, USTAR, WD, WS</t>
  </si>
  <si>
    <t>BR-BNT</t>
  </si>
  <si>
    <t>BIONTE</t>
  </si>
  <si>
    <t>Robinson Negron-Juarez (robinson.inj@lbl.gov)</t>
  </si>
  <si>
    <t>EBF</t>
  </si>
  <si>
    <t>Evergreen Broadleaf Forests: Lands dominated by woody vegetation with a percent cover &gt;60% and height exceeding 2 meters. Almost all trees and shrubs remain green year round. Canopy is never without green foliage.</t>
  </si>
  <si>
    <t>Brazil</t>
  </si>
  <si>
    <t>BR-Cax</t>
  </si>
  <si>
    <t>CAX, FLONA Caxiuanã micromet tower</t>
  </si>
  <si>
    <t>Alessandro Araujo (alessandro.araujo@embrapa.br)</t>
  </si>
  <si>
    <t>Af</t>
  </si>
  <si>
    <t>Tropical rain forest</t>
  </si>
  <si>
    <t>BR-CMT</t>
  </si>
  <si>
    <t>Capuaba farm Mato Grosso</t>
  </si>
  <si>
    <t>Mark Johnson (mark.johnson@ubc.ca)</t>
  </si>
  <si>
    <t>Aw</t>
  </si>
  <si>
    <t>Tropical savanna</t>
  </si>
  <si>
    <t>BR-CST</t>
  </si>
  <si>
    <t>Caatinga Serra Talhada</t>
  </si>
  <si>
    <t>Antonio Antonino (acdantonino@gmail.com)</t>
  </si>
  <si>
    <t>DNF</t>
  </si>
  <si>
    <t>Deciduous Needleleaf Forests: Lands dominated by woody vegetation with a percent cover &gt;60% and height exceeding 2 meters.  Consists of seasonal needleleaf tree communities with an annual cycle of leaf-on and leaf-off periods.</t>
  </si>
  <si>
    <t>Bsh</t>
  </si>
  <si>
    <t>Steppe: very cold winter</t>
  </si>
  <si>
    <t>https://doi.org/10.17190/AMF/1562386</t>
  </si>
  <si>
    <t>https://doi.org/10.17190/AMF/1902820</t>
  </si>
  <si>
    <t>APAR, CO2, FC, FETCH_90, GPP, H, H2O, H_SSITC_TEST, LE, LE_SSITC_TEST, MO_LENGTH, NEE, NETRAD, P, PA, RH, SC, SH, SLE, SWC, SW_IN, TA, TAU, TAU_SSITC_TEST, TS, T_SONIC, USTAR, VPD, WD, WS, WS_MAX, ZL</t>
  </si>
  <si>
    <t>BR-Cui</t>
  </si>
  <si>
    <t>Micrometeorological studies project in Amazonian mangroves</t>
  </si>
  <si>
    <t>Isabel Vitorino (vitorino@ufpa.br)</t>
  </si>
  <si>
    <t>Am</t>
  </si>
  <si>
    <t>Tropical monsoon</t>
  </si>
  <si>
    <t>BR-CUP</t>
  </si>
  <si>
    <t>Cupari Tapajos National Forest</t>
  </si>
  <si>
    <t>Scott Saleska (saleska@arizona.edu)</t>
  </si>
  <si>
    <t>DBF</t>
  </si>
  <si>
    <t>Deciduous Broadleaf Forests: Lands dominated by woody vegetation with a percent cover &gt;60% and height exceeding 2 meters.  Consists of broadleaf tree communities with an annual cycle of leaf-on and leaf-off periods.</t>
  </si>
  <si>
    <t>BR-IAB</t>
  </si>
  <si>
    <t>Instituto Arruda Botelho - Wooded Cerrado and Mixed Agriculture</t>
  </si>
  <si>
    <t>Edson Wendland (ew@sc.usp.br)</t>
  </si>
  <si>
    <t>WSA</t>
  </si>
  <si>
    <t>Woody Savannas: Lands with herbaceous and other understory systems, and with forest canopy cover between 30-60%. The forest cover height exceeds 2 meters.</t>
  </si>
  <si>
    <t>Cwa</t>
  </si>
  <si>
    <t>Humid Subtropical: dry winter, hot summer</t>
  </si>
  <si>
    <t>BR-Ji1</t>
  </si>
  <si>
    <t>Fazenda Nossa Senhora (FNS)</t>
  </si>
  <si>
    <t>BR-Ji3</t>
  </si>
  <si>
    <t>Ji-Paraná/RO - Reserva Biológica do Jaru (RBJ)</t>
  </si>
  <si>
    <t>BR-Ma2</t>
  </si>
  <si>
    <t>Manaus - ZF2 K34</t>
  </si>
  <si>
    <t>Alessandro Araujo (alessandro.araujo@gmail.com)</t>
  </si>
  <si>
    <t>BR-Ma3</t>
  </si>
  <si>
    <t>ZF3, Colosso farm</t>
  </si>
  <si>
    <t>CVM</t>
  </si>
  <si>
    <t>Cropland/Natural Vegetation Mosaics: Lands with a mosaic of croplands, forest, shrublands, and grasslands in which no one component comprises more than 60% of the landscape</t>
  </si>
  <si>
    <t>BR-Moj</t>
  </si>
  <si>
    <t>Moju/PA, Commercial oil palm plantation</t>
  </si>
  <si>
    <t>BR-Npw</t>
  </si>
  <si>
    <t>Northern Pantanal Wetland</t>
  </si>
  <si>
    <t>2013, 2014, 2015, 2016, 2017</t>
  </si>
  <si>
    <t>https://doi.org/10.17190/AMF/1579716</t>
  </si>
  <si>
    <t>https://doi.org/10.17190/AMF/1881563</t>
  </si>
  <si>
    <t>CH4, CO2, FC, FCH4, G, H, LE, LW_IN, LW_OUT, NETRAD, P, PA, PPFD_IN, PPFD_OUT, RH, SW_IN, SW_OUT, TA, TS, T_SONIC, USTAR, WD, WS, WTD</t>
  </si>
  <si>
    <t>BR-PRS</t>
  </si>
  <si>
    <t>Paraíso do Sul</t>
  </si>
  <si>
    <t>Débora Roberti (debora@ufsm.br)</t>
  </si>
  <si>
    <t>BR-Sa1</t>
  </si>
  <si>
    <t>Santarem-Km67-Primary Forest</t>
  </si>
  <si>
    <t>Scott Saleska (saleska@email.arizona.edu)</t>
  </si>
  <si>
    <t>2002, 2003, 2004, 2005, 2006, 2007, 2008, 2009, 2010, 2011</t>
  </si>
  <si>
    <t>https://doi.org/10.17190/AMF/1245994</t>
  </si>
  <si>
    <t>CO2, FC, H, H2O, LE, NEE, NETRAD, PA, PPFD_IN, RECO, RH, SC, TA, USTAR, VPD, WD, WS</t>
  </si>
  <si>
    <t>BR-Sa3</t>
  </si>
  <si>
    <t>Santarem-Km83-Logged Forest</t>
  </si>
  <si>
    <t>Mike Goulden (mgoulden@uci.edu)</t>
  </si>
  <si>
    <t>2000, 2001, 2002, 2003, 2004</t>
  </si>
  <si>
    <t>https://doi.org/10.17190/AMF/1245995</t>
  </si>
  <si>
    <t>CO2, FC, G, H, H2O, LE, LW_IN, LW_OUT, NEE, NETRAD, P, PA, PPFD_IN, PPFD_OUT, RECO, RH, SC, SWC, SW_IN, SW_OUT, TA, TS, USTAR, VPD, WD, WS</t>
  </si>
  <si>
    <t>BR-SGC</t>
  </si>
  <si>
    <t>São Gabriel da Cachoeira (Balaio Indigenous Reserve, Pico da Neblina National Park)</t>
  </si>
  <si>
    <t>BR-SP1</t>
  </si>
  <si>
    <t>Southern Pantanal Wetland</t>
  </si>
  <si>
    <t>Thiago Rangel Rodrigues (thiago.r.rodrigues@ufms.br)</t>
  </si>
  <si>
    <t>CA-AF1</t>
  </si>
  <si>
    <t>Acadia Research Forest</t>
  </si>
  <si>
    <t>Manuel Helbig (manuel.helbig@dal.ca)</t>
  </si>
  <si>
    <t>MF</t>
  </si>
  <si>
    <t>Mixed Forests: Lands dominated by trees with a percent cover &gt;60% and height exceeding 2 meters.  Consists of tree communities with interspersed mixtures or mosaics of the other four forest types.  None of the forest types exceeds 60% of landscape.</t>
  </si>
  <si>
    <t>Dfb</t>
  </si>
  <si>
    <t xml:space="preserve">Warm Summer Continental: significant precipitation in all seasons </t>
  </si>
  <si>
    <t>Canada</t>
  </si>
  <si>
    <t>2023, 2024</t>
  </si>
  <si>
    <t>https://doi.org/10.17190/AMF/2479623</t>
  </si>
  <si>
    <t>ALB, CO2, CO2_MIXING_RATIO, CO2_SIGMA, D_SNOW, FC, FC_SSITC_TEST, FH2O, H, H2O, H2O_MIXING_RATIO, H2O_SIGMA, H_SSITC_TEST, LE, LE_SSITC_TEST, LW_IN, LW_OUT, MO_LENGTH, PA, P_RAIN, RH, SC, SG, SH, SLE, SW_BC_IN, SWC, SW_DIF, SW_DIR, SW_IN, SW_OUT, SWP, TA, TAU, T_CANOPY, TS, T_SONIC, U_SIGMA, USTAR, VPD, V_SIGMA, WD, WS, W_SIGMA, WS_MAX, ZL</t>
  </si>
  <si>
    <t>CA-ARB</t>
  </si>
  <si>
    <t>Attawapiskat River Bog</t>
  </si>
  <si>
    <t>Elyn Humphreys (elynhumphreys@cunet.carleton.ca)</t>
  </si>
  <si>
    <t>2011, 2012, 2013, 2014, 2015</t>
  </si>
  <si>
    <t>https://doi.org/10.17190/AMF/1480319</t>
  </si>
  <si>
    <t>https://doi.org/10.17190/AMF/1902821</t>
  </si>
  <si>
    <t>ALB, CO2, D_SNOW, FC, G, H, LE, LW_IN, LW_OUT, MO_LENGTH, P, PA, RH, SWC, SW_IN, SW_OUT, TA, TAU, TS, T_SONIC, T_SONIC_SIGMA, U_SIGMA, USTAR, VPD, V_SIGMA, WD, WS, W_SIGMA, WTD, ZL</t>
  </si>
  <si>
    <t>CA-ARF</t>
  </si>
  <si>
    <t>Attawapiskat River Fen</t>
  </si>
  <si>
    <t>https://doi.org/10.17190/AMF/1480318</t>
  </si>
  <si>
    <t>https://doi.org/10.17190/AMF/1902822</t>
  </si>
  <si>
    <t>CA-BCW</t>
  </si>
  <si>
    <t>Big Creek Watershed</t>
  </si>
  <si>
    <t>Carlos Barreto (carlos.barreto@ontario.ca)</t>
  </si>
  <si>
    <t>CA-BOU</t>
  </si>
  <si>
    <t>Bouleau Peatland</t>
  </si>
  <si>
    <t>Michelle Garneau (garneau.michelle@uqam.ca)</t>
  </si>
  <si>
    <t>Cwc</t>
  </si>
  <si>
    <t>Temperate Highland: dry winter, cool summer</t>
  </si>
  <si>
    <t>2018, 2019, 2020</t>
  </si>
  <si>
    <t>https://doi.org/10.17190/AMF/1987599</t>
  </si>
  <si>
    <t>https://doi.org/10.17190/AMF/2469435</t>
  </si>
  <si>
    <t>ALB, CH4, CO2, CO2_MIXING_RATIO, FC, FCH4, FCH4_SSITC_TEST, FC_SSITC_TEST, FETCH_70, FETCH_90, FETCH_MAX, G, GPP, H, H2O, H2O_MIXING_RATIO, H_SSITC_TEST, LE, LE_SSITC_TEST, LW_IN, LW_OUT, MO_LENGTH, NEE, PA, PPFD_IN, P_RAIN, RECO, RH, SW_IN, SW_OUT, TA, TAU, TAU_SSITC_TEST, TS, T_SONIC, USTAR, VPD, WD, WS, WS_MAX, WTD, ZL</t>
  </si>
  <si>
    <t>CA-Ca1</t>
  </si>
  <si>
    <t>British Columbia - 1949 Douglas-fir stand</t>
  </si>
  <si>
    <t>T. Andrew Black (andrew.black@ubc.ca)</t>
  </si>
  <si>
    <t>ENF</t>
  </si>
  <si>
    <t>Evergreen Needleleaf Forests: Lands dominated by woody vegetation with a percent cover &gt;60% and height exceeding 2 meters. Almost all trees remain green all year. Canopy is never without green foliage.</t>
  </si>
  <si>
    <t>1996, 1997, 1998, 1999, 2000, 2001, 2002, 2003, 2004, 2005, 2006, 2007, 2008, 2009, 2010</t>
  </si>
  <si>
    <t>https://doi.org/10.17190/AMF/1480300</t>
  </si>
  <si>
    <t>https://doi.org/10.17190/AMF/2007163</t>
  </si>
  <si>
    <t>CO2, FC, G, GPP, H, H2O, LE, LW_IN, LW_OUT, NEE, NETRAD, PA, PPFD_BC_IN, PPFD_DIF, PPFD_IN, PPFD_OUT, P_RAIN, RECO, RH, SB, SC, SH, SLE, SWC, SW_IN, SW_OUT, TA, T_BOLE, TS, T_SONIC, USTAR, WD, WS</t>
  </si>
  <si>
    <t>CA-Ca2</t>
  </si>
  <si>
    <t>British Columbia - Clearcut Douglas-fir stand (harvested winter 1999/2000)</t>
  </si>
  <si>
    <t>1999, 2000, 2001, 2002, 2003, 2004, 2005, 2006, 2007, 2008, 2009, 2010</t>
  </si>
  <si>
    <t>https://doi.org/10.17190/AMF/1480301</t>
  </si>
  <si>
    <t>https://doi.org/10.17190/AMF/2007164</t>
  </si>
  <si>
    <t>CO2, FC, G, GPP, H, H2O, LE, NEE, NETRAD, PA, PPFD_IN, PPFD_OUT, P_RAIN, RECO, RH, SB, SC, SH, SLE, SWC, SW_IN, SW_OUT, TA, T_BOLE, TS, USTAR, WD, WS</t>
  </si>
  <si>
    <t>CA-Ca3</t>
  </si>
  <si>
    <t>British Columbia - Pole sapling Douglas-fir stand</t>
  </si>
  <si>
    <t>2001, 2002, 2003, 2004, 2005, 2006, 2007, 2008, 2009, 2010, 2011, 2012, 2013, 2014, 2015, 2016, 2017, 2018, 2019, 2020, 2021, 2022</t>
  </si>
  <si>
    <t>https://doi.org/10.17190/AMF/1480302</t>
  </si>
  <si>
    <t>CO2, FC, G, GPP, H, H2O, LE, LW_IN, LW_OUT, NEE, NETRAD, PA, PPFD_DIF, PPFD_IN, PPFD_OUT, P_RAIN, RECO, RH, SB, SC, SG, SH, SLE, SWC, SW_IN, SW_OUT, TA, T_BOLE, TS, T_SONIC, T_SONIC_SIGMA, U_SIGMA, USTAR, VPD, V_SIGMA, WD, WS, W_SIGMA</t>
  </si>
  <si>
    <t>Ontario - Mixed Deciduous, Borden Forest Site</t>
  </si>
  <si>
    <t>Ralf Staebler (Ralf.Staebler@ec.gc.ca)</t>
  </si>
  <si>
    <t>1994, 1995, 1996, 1997, 1998, 1999, 2000, 2001, 2002, 2003, 2004, 2005, 2006, 2007, 2008, 2009, 2010, 2011, 2012, 2013, 2014, 2015, 2016, 2017, 2018, 2019, 2020</t>
  </si>
  <si>
    <t>https://doi.org/10.17190/AMF/1498755</t>
  </si>
  <si>
    <t>https://doi.org/10.17190/AMF/1854365</t>
  </si>
  <si>
    <t>CO2, CO2_SIGMA, FC, FO3, G, H, H2O, LE, LEAF_WET, LW_IN, LW_OUT, NEE, NETRAD, O3, PA, PPFD_IN, PPFD_OUT, RH, SC, SO2, SWC, SW_IN, SW_OUT, TA, T_BOLE, TS, T_SONIC, USTAR, WD, WS, W_SIGMA</t>
  </si>
  <si>
    <t>CA-CF1</t>
  </si>
  <si>
    <t>Churchill Fen Site 1</t>
  </si>
  <si>
    <t>Tim Papakyriakou (Tim.papakyriakou@umanitoba.ca)</t>
  </si>
  <si>
    <t>Dfc</t>
  </si>
  <si>
    <t>Subarctic: severe winter, no dry season, cool summer</t>
  </si>
  <si>
    <t>2007, 2008</t>
  </si>
  <si>
    <t>https://doi.org/10.17190/AMF/1660336</t>
  </si>
  <si>
    <t>https://doi.org/10.17190/AMF/2229375</t>
  </si>
  <si>
    <t>CO2, FC, H, H2O, LE, NETRAD, PA, PPFD_IN, P_RAIN, RH, SW_IN, TA, TS, USTAR, WD, WS</t>
  </si>
  <si>
    <t>CA-CF2</t>
  </si>
  <si>
    <t>Churchill Fen Site 2</t>
  </si>
  <si>
    <t>Mario Tenuta (Mario.Tenuta@umanitoba.ca)</t>
  </si>
  <si>
    <t>2008, 2009, 2010, 2011</t>
  </si>
  <si>
    <t>https://doi.org/10.17190/AMF/1634879</t>
  </si>
  <si>
    <t>CH4, CO2, FC, FCH4, H, H2O, LE, NETRAD, PA, PPFD_IN, P_RAIN, RH, SW_IN, TA, TS, USTAR, WD, WS</t>
  </si>
  <si>
    <t>CA-CF3</t>
  </si>
  <si>
    <t>Churchill Fen Site 3</t>
  </si>
  <si>
    <t>Susan Natali (snatali@woodwellclimate.org)</t>
  </si>
  <si>
    <t>2022, 2023</t>
  </si>
  <si>
    <t>https://doi.org/10.17190/AMF/2335573</t>
  </si>
  <si>
    <t>ALB, CH4, CH4_MIXING_RATIO, CO2, CO2_MIXING_RATIO, D_SNOW, FC, FCH4, FCH4_SSITC_TEST, FC_SSITC_TEST, FH2O, G, GPP, H, H2O, H_SSITC_TEST, LE, LE_SSITC_TEST, LW_IN, LW_OUT, MO_LENGTH, NETRAD, P, PA, PPFD_IN, PPFD_OUT, RECO, RH, SWC, SW_IN, SW_OUT, TA, TAU, TAU_SSITC_TEST, TS, T_SONIC, U_SIGMA, USTAR, VPD, V_SIGMA, WD, WS, W_SIGMA, WS_MAX, ZL</t>
  </si>
  <si>
    <t>CA-Cha</t>
  </si>
  <si>
    <t>New Brunswick - Charlie Lake site 01 (immature balsam fir forest to be thinned in year 3)</t>
  </si>
  <si>
    <t>Charles Bourque (cbourque@unb.ca)</t>
  </si>
  <si>
    <t>2004, 2005</t>
  </si>
  <si>
    <t>https://doi.org/10.17190/AMF/1436317</t>
  </si>
  <si>
    <t>FC, G, H, LE, NETRAD, PA, PPFD_IN, P_RAIN, RH, SWC, SW_IN, SW_OUT, TA, TS, USTAR, WD, WS</t>
  </si>
  <si>
    <t>CA-CQ1</t>
  </si>
  <si>
    <t>Québec. Carbonique1 - Lac Saint-Pierre Disturbed Marsh</t>
  </si>
  <si>
    <t>Sara Knox (sara.knox@mcgill.ca)</t>
  </si>
  <si>
    <t>Delta Burns Bog 2</t>
  </si>
  <si>
    <t>Sara Knox (sara.knox@ubc.ca)</t>
  </si>
  <si>
    <t>2019, 2020</t>
  </si>
  <si>
    <t>https://doi.org/10.17190/AMF/1811362</t>
  </si>
  <si>
    <t>https://doi.org/10.17190/AMF/1881564</t>
  </si>
  <si>
    <t>CO2, FC, FCH4, G, H, LE, LW_IN, LW_OUT, NETRAD, P, PA, RH, SW_IN, SW_OUT, TA, TS, T_SONIC, USTAR, WD, WS, WTD</t>
  </si>
  <si>
    <t>Delta Burns Bog</t>
  </si>
  <si>
    <t>Csb</t>
  </si>
  <si>
    <t>Mediterranean: mild with dry, warm summer</t>
  </si>
  <si>
    <t>2014, 2015, 2016, 2017, 2018, 2019, 2020</t>
  </si>
  <si>
    <t>https://doi.org/10.17190/AMF/1543378</t>
  </si>
  <si>
    <t>https://doi.org/10.17190/AMF/1881565</t>
  </si>
  <si>
    <t>CA-DL1</t>
  </si>
  <si>
    <t>Daring Lake - Mixed Tundra</t>
  </si>
  <si>
    <t>Peter Lafleur (plafleur@trentu.ca)</t>
  </si>
  <si>
    <t>OSH</t>
  </si>
  <si>
    <t>Open Shrublands: Lands with woody vegetation less than 2 meters tall and with shrub canopy cover between 10-60%. The shrub foliage can be either evergreen or deciduous.</t>
  </si>
  <si>
    <t>CA-DL2</t>
  </si>
  <si>
    <t>Daring Lake - Fen</t>
  </si>
  <si>
    <t>CA-DSM</t>
  </si>
  <si>
    <t>Delta Salt Marsh</t>
  </si>
  <si>
    <t>https://doi.org/10.17190/AMF/1964085</t>
  </si>
  <si>
    <t>ALB, CH4, CO2, COND_WATER, DO, FC, FCH4, G, H, H2O, LE, LW_IN, LW_OUT, NDVI, NEE, NETRAD, P, PA, PPFD_DIF, PPFD_IN, PPFD_OUT, PRI, RH, SC, SCH4, SH, SLE, SW_IN, SW_OUT, TA, TAU, TS, TW, U_SIGMA, USTAR, VPD, V_SIGMA, WD, WS, W_SIGMA, WTD</t>
  </si>
  <si>
    <t>CA-EM1</t>
  </si>
  <si>
    <t>Newdale Manitoba</t>
  </si>
  <si>
    <t>Pascal Badiou (p_badiou@ducks.ca)</t>
  </si>
  <si>
    <t>2021, 2022, 2023</t>
  </si>
  <si>
    <t>https://doi.org/10.17190/AMF/2315766</t>
  </si>
  <si>
    <t>https://doi.org/10.17190/AMF/2469436</t>
  </si>
  <si>
    <t>ALB, CH4, CO2, FC, FCH4, H, H2O, LE, LW_IN, LW_OUT, NEE, NETRAD, P, PA, PPFD_IN, RH, SC, SCH4, SH, SLE, SW_IN, SW_OUT, TA, TAU, TS, U_SIGMA, USTAR, VPD, V_SIGMA, WD, WS, W_SIGMA</t>
  </si>
  <si>
    <t>CA-EM2</t>
  </si>
  <si>
    <t>Shoal Lake Manitoba</t>
  </si>
  <si>
    <t>https://doi.org/10.17190/AMF/2331380</t>
  </si>
  <si>
    <t>CA-EM3</t>
  </si>
  <si>
    <t>Oak Hammock Marsh Manitoba</t>
  </si>
  <si>
    <t>Elora Research Station</t>
  </si>
  <si>
    <t>Claudia Wagner-Riddle (cwagnerr@uoguelph.ca)</t>
  </si>
  <si>
    <t>2015, 2016, 2017, 2018, 2019, 2020, 2021</t>
  </si>
  <si>
    <t>https://doi.org/10.17190/AMF/1579541</t>
  </si>
  <si>
    <t>2015, 2016, 2017, 2018, 2019, 2020</t>
  </si>
  <si>
    <t>https://doi.org/10.17190/AMF/1832154</t>
  </si>
  <si>
    <t>CO2, CO2_SIGMA, FC, H, H2O, H2O_SIGMA, LE, MO_LENGTH, PA, RH, SW_IN, TA, TAU, T_SONIC, T_SONIC_SIGMA, U_SIGMA, USTAR, VPD, V_SIGMA, WD, WS, W_SIGMA, WS_MAX, ZL</t>
  </si>
  <si>
    <t>CA-ER2</t>
  </si>
  <si>
    <t>CA-Gro</t>
  </si>
  <si>
    <t>Ontario - Groundhog River, Boreal Mixedwood Forest</t>
  </si>
  <si>
    <t>Harry McCaughey (mccaughe@queensu.ca)</t>
  </si>
  <si>
    <t>2003, 2004, 2005, 2006, 2007, 2008, 2009, 2010, 2011, 2012, 2013, 2014</t>
  </si>
  <si>
    <t>https://doi.org/10.17190/AMF/1245996</t>
  </si>
  <si>
    <t>https://doi.org/10.17190/AMF/1902823</t>
  </si>
  <si>
    <t>CO2, FC, G, H, H2O, LE, LW_IN, LW_OUT, NEE, NETRAD, P, PA, PPFD_DIF, PPFD_IN, PPFD_OUT, RECO, RH, SC, SH, SLE, SWC, SW_IN, SW_OUT, TA, TS, USTAR, VPD, WD, WS</t>
  </si>
  <si>
    <t>CA-HPC</t>
  </si>
  <si>
    <t>Havikpak Creek</t>
  </si>
  <si>
    <t>Phil Marsh (pmarsh@wlu.ca)</t>
  </si>
  <si>
    <t>https://doi.org/10.17190/AMF/1773392</t>
  </si>
  <si>
    <t>https://doi.org/10.17190/AMF/2469437</t>
  </si>
  <si>
    <t>ALB, CH4, CO2, D_SNOW, FC, FCH4, FCH4_SSITC_TEST, FC_SSITC_TEST, GPP, H, H2O, H_SSITC_TEST, LE, LE_SSITC_TEST, LW_IN, LW_OUT, MO_LENGTH, NEE, P, PA, PPFD_IN, PPFD_OUT, RECO, RH, SC, SCH4, SH, SLE, SW_IN, SW_OUT, TA, TS, T_SONIC, USTAR, VPD, V_SIGMA, WD, WS, W_SIGMA, ZL</t>
  </si>
  <si>
    <t>CA-KLP</t>
  </si>
  <si>
    <t>Kinoje Lake Peatland</t>
  </si>
  <si>
    <t>CA-Let</t>
  </si>
  <si>
    <t>Alberta - Mixed Grass Prairie</t>
  </si>
  <si>
    <t>Lawrence B. Flanagan (larry.flanagan@uleth.ca)</t>
  </si>
  <si>
    <t>1998, 1999, 2000, 2001, 2002, 2003, 2004, 2005, 2006, 2007, 2008</t>
  </si>
  <si>
    <t>https://doi.org/10.17190/AMF/1436318</t>
  </si>
  <si>
    <t>CO2, G, H, H2O, LE, MO_LENGTH, NEE, NETRAD, PA, PPFD_IN, PPFD_OUT, P_RAIN, RH, SWC, SW_IN, SW_OUT, TA, TAU, TS, USTAR, VPD, WD, WS</t>
  </si>
  <si>
    <t xml:space="preserve">British Columbia - Mountain pine beetle-attacked lodgepole pine stand </t>
  </si>
  <si>
    <t>Thomas Andrew Black (andrew.black@ubc.ca)</t>
  </si>
  <si>
    <t>Csa</t>
  </si>
  <si>
    <t>Mediterranean: mild with dry, hot summer</t>
  </si>
  <si>
    <t>2007, 2008, 2009, 2010, 2011, 2012, 2013, 2014, 2015, 2016, 2017, 2018, 2019, 2020, 2021, 2022</t>
  </si>
  <si>
    <t>https://doi.org/10.17190/AMF/1660337</t>
  </si>
  <si>
    <t>https://doi.org/10.17190/AMF/1832155</t>
  </si>
  <si>
    <t>CO2, FC, G, GPP, H, H2O, LE, LW_IN, LW_OUT, NEE, NETRAD, P, PA, PPFD_IN, PPFD_OUT, RECO, RH, SC, SWC, SW_IN, SW_OUT, TA, TS, T_SONIC, T_SONIC_SIGMA, USTAR, VPD, WD, WS</t>
  </si>
  <si>
    <t>CA-LuM</t>
  </si>
  <si>
    <t>Luther Marsh Wildlife Management Area</t>
  </si>
  <si>
    <t>Elisa Fleischer (elisa.fleischer@uni-muenster.de)</t>
  </si>
  <si>
    <t>CA-MA1</t>
  </si>
  <si>
    <t>Manitoba Agricultural Site 1</t>
  </si>
  <si>
    <t>Brian Amiro (brian_amiro@umanitoba.ca)</t>
  </si>
  <si>
    <t>2009, 2010, 2011</t>
  </si>
  <si>
    <t>https://doi.org/10.17190/AMF/1617701</t>
  </si>
  <si>
    <t>https://doi.org/10.17190/AMF/2007165</t>
  </si>
  <si>
    <t>CO2, FC, G, H, H2O, LE, LW_IN, LW_OUT, NETRAD, PA, PPFD_IN, PPFD_OUT, P_RAIN, RH, SWC, SW_IN, SW_OUT, TA, TS, T_SONIC, USTAR, WD, WS</t>
  </si>
  <si>
    <t>CA-MA2</t>
  </si>
  <si>
    <t>Manitoba Agricultural Site 2</t>
  </si>
  <si>
    <t>https://doi.org/10.17190/AMF/1617702</t>
  </si>
  <si>
    <t>https://doi.org/10.17190/AMF/2007166</t>
  </si>
  <si>
    <t>CA-MA3</t>
  </si>
  <si>
    <t>Manitoba Agricultural Site 3</t>
  </si>
  <si>
    <t>https://doi.org/10.17190/AMF/1617703</t>
  </si>
  <si>
    <t>https://doi.org/10.17190/AMF/2007167</t>
  </si>
  <si>
    <t>CA-Man</t>
  </si>
  <si>
    <t>Manitoba - Northern Old Black Spruce (former BOREAS Northern Study Area)</t>
  </si>
  <si>
    <t>Brian Amiro (Brian_Amiro@umanitoba.ca)</t>
  </si>
  <si>
    <t>1994, 1995, 1996, 1997, 1998, 1999, 2000, 2001, 2002, 2003, 2004, 2005, 2006, 2007, 2008</t>
  </si>
  <si>
    <t>https://doi.org/10.17190/AMF/1245997</t>
  </si>
  <si>
    <t>CO2, FC, GPP, H, H2O, LE, NEE, NETRAD, PA, PPFD_BC_IN, PPFD_IN, P_RAIN, RECO, RH, SC, TA, TS, USTAR, WD, WS, ZL</t>
  </si>
  <si>
    <t>CA-Mer</t>
  </si>
  <si>
    <t>Ontario - Eastern Peatland, Mer Bleue</t>
  </si>
  <si>
    <t>1998, 1999, 2000, 2001, 2002, 2003, 2004, 2005, 2006, 2007, 2008, 2009, 2010, 2011, 2012, 2013, 2014, 2015, 2016, 2017, 2018, 2019, 2020</t>
  </si>
  <si>
    <t>https://doi.org/10.17190/AMF/2448423</t>
  </si>
  <si>
    <t>CO2, D_SNOW, FC, FC_SSITC_TEST, G, H, H2O, H_SSITC_TEST, LE, LE_SSITC_TEST, LW_IN, LW_OUT, MO_LENGTH, NEE, PA, PPFD_IN, PPFD_OUT, P_RAIN, RH, SC, SH, SLE, SWC, SW_IN, SW_OUT, TA, TAU, TS, T_SONIC, T_SONIC_SIGMA, U_SIGMA, USTAR, VPD, V_SIGMA, WD, WS, W_SIGMA, WS_MAX, WTD</t>
  </si>
  <si>
    <t>CA-MR3</t>
  </si>
  <si>
    <t>Mattheis Ranch - E3 South</t>
  </si>
  <si>
    <t>John Gamon (jgamon@gmail.com)</t>
  </si>
  <si>
    <t>Dwd</t>
  </si>
  <si>
    <t>Subarctic: severe, very cold and dry winter, cool summer</t>
  </si>
  <si>
    <t>2012, 2013, 2014, 2015, 2016</t>
  </si>
  <si>
    <t>https://doi.org/10.17190/AMF/1480320</t>
  </si>
  <si>
    <t>CO2, FC, FC_SSITC_TEST, FETCH_70, FETCH_90, GPP, H, H2O, H_SSITC_TEST, LE, LE_SSITC_TEST, NEE, PA, PPFD_IN, RECO, RH, SC, SH, SLE, TA, TAU, TAU_SSITC_TEST, T_SONIC, USTAR, VPD, WD, WS, WS_MAX</t>
  </si>
  <si>
    <t>CA-MR5</t>
  </si>
  <si>
    <t>Mattheis Ranch - E5 North</t>
  </si>
  <si>
    <t>https://doi.org/10.17190/AMF/1480321</t>
  </si>
  <si>
    <t>CA-Mtk</t>
  </si>
  <si>
    <t>Mittimatalik (Pond Inlet) Tundra</t>
  </si>
  <si>
    <t>ET</t>
  </si>
  <si>
    <t>Tundra</t>
  </si>
  <si>
    <t>CA-Na1</t>
  </si>
  <si>
    <t>New Brunswick - 1967 Balsam Fir - Nashwaak Lake Site 01 (Mature balsam fir forest)</t>
  </si>
  <si>
    <t>Charles P.-A. Bourque (cbourque@unb.ca)</t>
  </si>
  <si>
    <t>2003, 2004, 2005</t>
  </si>
  <si>
    <t>https://doi.org/10.17190/AMF/1436319</t>
  </si>
  <si>
    <t>CO2, D_SNOW, FC, G, H, LE, LW_IN, LW_OUT, NETRAD, P, PA, PPFD_DIF, PPFD_IN, PPFD_OUT, P_RAIN, RH, SWC, SW_IN, SW_OUT, TA, T_BOLE, TS, USTAR, WD, WS</t>
  </si>
  <si>
    <t>CA-NS1</t>
  </si>
  <si>
    <t>UCI-1850 burn site</t>
  </si>
  <si>
    <t>2001, 2002, 2003, 2004, 2005</t>
  </si>
  <si>
    <t>https://doi.org/10.17190/AMF/1245998</t>
  </si>
  <si>
    <t>https://doi.org/10.17190/AMF/1902824</t>
  </si>
  <si>
    <t>CO2, FC, H, H2O, LE, NETRAD, P, PPFD_IN, PPFD_OUT, RH, SWC, SW_IN, SW_OUT, TA, TS, USTAR, VPD, WD, WS</t>
  </si>
  <si>
    <t>CA-NS2</t>
  </si>
  <si>
    <t>UCI-1930 burn site</t>
  </si>
  <si>
    <t>https://doi.org/10.17190/AMF/1245999</t>
  </si>
  <si>
    <t>https://doi.org/10.17190/AMF/1902825</t>
  </si>
  <si>
    <t>CA-NS3</t>
  </si>
  <si>
    <t>UCI-1964 burn site</t>
  </si>
  <si>
    <t>https://doi.org/10.17190/AMF/1246000</t>
  </si>
  <si>
    <t>https://doi.org/10.17190/AMF/1902826</t>
  </si>
  <si>
    <t>CA-NS4</t>
  </si>
  <si>
    <t>UCI-1964 burn site wet</t>
  </si>
  <si>
    <t>https://doi.org/10.17190/AMF/1246001</t>
  </si>
  <si>
    <t>https://doi.org/10.17190/AMF/1902827</t>
  </si>
  <si>
    <t>CA-NS5</t>
  </si>
  <si>
    <t>UCI-1981 burn site</t>
  </si>
  <si>
    <t>https://doi.org/10.17190/AMF/1246002</t>
  </si>
  <si>
    <t>https://doi.org/10.17190/AMF/1902828</t>
  </si>
  <si>
    <t>CA-NS6</t>
  </si>
  <si>
    <t>UCI-1989 burn site</t>
  </si>
  <si>
    <t>https://doi.org/10.17190/AMF/1246003</t>
  </si>
  <si>
    <t>https://doi.org/10.17190/AMF/1902829</t>
  </si>
  <si>
    <t>CA-NS7</t>
  </si>
  <si>
    <t>UCI-1998 burn site</t>
  </si>
  <si>
    <t>https://doi.org/10.17190/AMF/1246004</t>
  </si>
  <si>
    <t>CA-NS8</t>
  </si>
  <si>
    <t>UCI-2003 burn site</t>
  </si>
  <si>
    <t>https://doi.org/10.17190/AMF/1246005</t>
  </si>
  <si>
    <t>APAR, CO2, FAPAR, FC, G, H, H2O, LE, LW_IN, LW_OUT, NEE, NETRAD, P, PA, PPFD_DIF, PPFD_IN, PPFD_OUT, RECO, RH, SC, SH, SLE, SWC, SW_DIF, SW_IN, SW_OUT, TA, TS, USTAR, VPD, WD, WS, ZL</t>
  </si>
  <si>
    <t>CA-Oas</t>
  </si>
  <si>
    <t>Saskatchewan - Western Boreal, Mature Aspen</t>
  </si>
  <si>
    <t>Andy Black (andrew.black@ubc.ca)</t>
  </si>
  <si>
    <t>https://doi.org/10.17190/AMF/1375197</t>
  </si>
  <si>
    <t>CA-Obs</t>
  </si>
  <si>
    <t>Saskatchewan - Western Boreal, Mature Black Spruce</t>
  </si>
  <si>
    <t>Warren Helgason (warren.helgason@usask.ca)</t>
  </si>
  <si>
    <t>1997, 1998, 1999, 2000, 2001, 2002, 2003, 2004, 2005, 2006, 2007, 2008, 2009, 2010</t>
  </si>
  <si>
    <t>https://doi.org/10.17190/AMF/1375198</t>
  </si>
  <si>
    <t>CA-Ojp</t>
  </si>
  <si>
    <t>Saskatchewan - Western Boreal, Mature Jack Pine</t>
  </si>
  <si>
    <t>https://doi.org/10.17190/AMF/1375199</t>
  </si>
  <si>
    <t>CO2, D_SNOW, FC, G, GPP, H, LE, LW_IN, LW_OUT, NEE, NETRAD, P, PA, PPFD_DIF, PPFD_IN, PPFD_OUT, RECO, RH, SB, SC, SH, SLE, SWC, SW_IN, SW_OUT, TA, T_BOLE, TS, USTAR, VPD, WD, WS</t>
  </si>
  <si>
    <t>CA-Qc2</t>
  </si>
  <si>
    <t>Quebec - 1975 Harvested Black Spruce (HBS75)</t>
  </si>
  <si>
    <t>Hank Margolis (Hank.Margolis@sbf.ulaval.ca)</t>
  </si>
  <si>
    <t>2007, 2008, 2009, 2010</t>
  </si>
  <si>
    <t>https://doi.org/10.17190/AMF/1419514</t>
  </si>
  <si>
    <t>https://doi.org/10.17190/AMF/2469438</t>
  </si>
  <si>
    <t>CO2, D_SNOW, FC, G, GPP, H, LE, NEE, NETRAD, PA, PPFD_IN, PPFD_OUT, P_RAIN, RECO, RH, SC, SH, SLE, SWC, TA, TS, USTAR, WD, WS</t>
  </si>
  <si>
    <t>CA-Qcu</t>
  </si>
  <si>
    <t>Quebec - Eastern Boreal, Black Spruce/Jack Pine Cutover</t>
  </si>
  <si>
    <t>Hank A. Margolis (Hank.Margolis@sbf.ulaval.ca)</t>
  </si>
  <si>
    <t>2001, 2002, 2003, 2004, 2005, 2006, 2007, 2008, 2009, 2010</t>
  </si>
  <si>
    <t>https://doi.org/10.17190/AMF/1246828</t>
  </si>
  <si>
    <t>CA-Qfo</t>
  </si>
  <si>
    <t>Quebec - Eastern Boreal, Mature Black Spruce</t>
  </si>
  <si>
    <t>2003, 2004, 2005, 2006, 2007, 2008, 2009, 2010</t>
  </si>
  <si>
    <t>https://doi.org/10.17190/AMF/1246829</t>
  </si>
  <si>
    <t>https://doi.org/10.17190/AMF/2006960</t>
  </si>
  <si>
    <t>CO2, FC, G, H, LE, LW_IN, LW_OUT, NEE, NETRAD, P, PA, PPFD_DIF, PPFD_IN, PPFD_OUT, RECO, RH, SC, SH, SLE, SWC, SW_IN, SW_OUT, TA, TS, USTAR, VPD, WD, WS</t>
  </si>
  <si>
    <t>CA-RBM</t>
  </si>
  <si>
    <t>Richmond Brackish Marsh</t>
  </si>
  <si>
    <t>CA-RPn</t>
  </si>
  <si>
    <t>Robinsons_Natural_Bog_NL</t>
  </si>
  <si>
    <t>Jianghua Wu (jwu@grenfell.mun.ca)</t>
  </si>
  <si>
    <t>CA-RPp</t>
  </si>
  <si>
    <t>Robinsons_Peatland_Pasture_NL</t>
  </si>
  <si>
    <t>CA-RSB</t>
  </si>
  <si>
    <t>Resolute Bay Polar Desert</t>
  </si>
  <si>
    <t>BSV</t>
  </si>
  <si>
    <t>Barren Sparse Vegetation: Lands exposed soil, sand, or rocks and has less than 10% vegetative cover during any time of the year.</t>
  </si>
  <si>
    <t>CA-SCB</t>
  </si>
  <si>
    <t>Scotty Creek Bog</t>
  </si>
  <si>
    <t>Oliver Sonnentag (oliver.sonnentag@umontreal.ca)</t>
  </si>
  <si>
    <t>2014, 2015, 2016, 2017, 2018, 2019</t>
  </si>
  <si>
    <t>https://doi.org/10.17190/AMF/1498754</t>
  </si>
  <si>
    <t>https://doi.org/10.17190/AMF/2469439</t>
  </si>
  <si>
    <t>ALB, CO2, D_SNOW, FC, FCH4, FCH4_SSITC_TEST, FC_SSITC_TEST, G, GPP, H, H2O, H_SSITC_TEST, LE, LE_SSITC_TEST, LW_IN, LW_OUT, MO_LENGTH, NEE, PA, P_RAIN, RECO, RH, SC, SCH4, SH, SLE, SW_IN, SW_OUT, TA, TS, USTAR, VPD, V_SIGMA, WD, WS, W_SIGMA, WS_MAX, WTD, ZL</t>
  </si>
  <si>
    <t>CA-SCC</t>
  </si>
  <si>
    <t>Scotty Creek Landscape</t>
  </si>
  <si>
    <t>2013, 2014, 2015, 2016</t>
  </si>
  <si>
    <t>https://doi.org/10.17190/AMF/1480303</t>
  </si>
  <si>
    <t>https://doi.org/10.17190/AMF/2469440</t>
  </si>
  <si>
    <t>ALB, CO2, D_SNOW, FC, FCH4, FCH4_SSITC_TEST, FC_SSITC_TEST, G, GPP, H, H2O, H_SSITC_TEST, LE, LE_SSITC_TEST, LW_IN, LW_OUT, MO_LENGTH, NEE, PA, PPFD_IN, PPFD_OUT, P_RAIN, RECO, RH, SC, SCH4, SH, SLE, SWC, SW_IN, SW_OUT, TA, TS, T_SONIC, USTAR, VPD, V_SIGMA, WD, WS, W_SIGMA, WS_MAX, ZL</t>
  </si>
  <si>
    <t>CA-SF1</t>
  </si>
  <si>
    <t>Saskatchewan - Western Boreal, forest burned in 1977</t>
  </si>
  <si>
    <t>2003, 2004, 2005, 2006</t>
  </si>
  <si>
    <t>https://doi.org/10.17190/AMF/1246006</t>
  </si>
  <si>
    <t>https://doi.org/10.17190/AMF/1902831</t>
  </si>
  <si>
    <t>CO2, FC, G, H, H2O, LE, LW_IN, LW_OUT, NEE, NETRAD, PA, PPFD_IN, PPFD_OUT, P_RAIN, RH, SH, SWC, SW_IN, SW_OUT, TA, TS, USTAR, VPD, WD, WS</t>
  </si>
  <si>
    <t>CA-SF2</t>
  </si>
  <si>
    <t>Saskatchewan - Western Boreal, forest burned in 1989</t>
  </si>
  <si>
    <t>2001, 2002, 2003, 2004, 2005, 2006</t>
  </si>
  <si>
    <t>https://doi.org/10.17190/AMF/1246007</t>
  </si>
  <si>
    <t>https://doi.org/10.17190/AMF/2006961</t>
  </si>
  <si>
    <t>CO2, FC, G, H, H2O, LE, LW_IN, LW_OUT, NEE, NETRAD, P, PA, PPFD_IN, PPFD_OUT, RH, SC, SH, SLE, SWC, SW_IN, SW_OUT, TA, TS, USTAR, VPD, WD, WS</t>
  </si>
  <si>
    <t>CA-SF3</t>
  </si>
  <si>
    <t>Saskatchewan - Western Boreal, forest burned in 1998</t>
  </si>
  <si>
    <t>https://doi.org/10.17190/AMF/1246008</t>
  </si>
  <si>
    <t>CA-SJ1</t>
  </si>
  <si>
    <t>Saskatchewan - Western Boreal, Jack Pine forest harvested in 1994</t>
  </si>
  <si>
    <t>Alan Barr (alan.barr@usask.ca)</t>
  </si>
  <si>
    <t>2000, 2001, 2002, 2003, 2004, 2005, 2006, 2007, 2008, 2009, 2010</t>
  </si>
  <si>
    <t>https://doi.org/10.17190/AMF/1436320</t>
  </si>
  <si>
    <t>D_SNOW, FC, G, H, LE, LEAF_WET, LW_IN, LW_OUT, NETRAD, PPFD_IN, PPFD_OUT, P_RAIN, RH, SWC, SW_IN, SW_OUT, TA, TS, TSN, USTAR, WD, WS</t>
  </si>
  <si>
    <t>CA-SJ2</t>
  </si>
  <si>
    <t>Saskatchewan - Western Boreal, Jack Pine forest harvested in 2002</t>
  </si>
  <si>
    <t>2002, 2003, 2004, 2005, 2006, 2007, 2008, 2009, 2010</t>
  </si>
  <si>
    <t>https://doi.org/10.17190/AMF/1436321</t>
  </si>
  <si>
    <t>CO2, D_SNOW, FC, G, GPP, H, H2O, LE, LEAF_WET, LW_IN, LW_OUT, NEE, NETRAD, P, PA, PPFD_IN, PPFD_OUT, P_RAIN, RECO, RH, SG, SH, SLE, SWC, SW_IN, SW_OUT, TA, TS, TSN, USTAR, WD, WS</t>
  </si>
  <si>
    <t>CA-SJ3</t>
  </si>
  <si>
    <t>Saskatchewan - Western Boreal, Jack Pine forest harvested in 1975 (BOREAS Young Jack Pine)</t>
  </si>
  <si>
    <t>https://doi.org/10.17190/AMF/1436322</t>
  </si>
  <si>
    <t>D_SNOW, FC, G, GPP, H, LE, LW_IN, LW_OUT, NEE, NETRAD, PPFD_IN, PPFD_OUT, P_RAIN, RECO, RH, SB, SH, SLE, SWC, SW_IN, SW_OUT, TA, T_BOLE, TS, TSN, USTAR, WD, WS</t>
  </si>
  <si>
    <t>CA-SMC</t>
  </si>
  <si>
    <t>Smith Creek</t>
  </si>
  <si>
    <t>https://doi.org/10.17190/AMF/1767830</t>
  </si>
  <si>
    <t>CH4, CO2, FC, FCH4, FCH4_SSITC_TEST, FC_SSITC_TEST, GPP, H, H2O, H_SSITC_TEST, LE, LE_SSITC_TEST, LW_IN, LW_OUT, MO_LENGTH, NEE, PA, PPFD_IN, RECO, RH, SC, SCH4, SH, SLE, SW_IN, SW_OUT, TA, TS, T_SONIC, USTAR, VPD, V_SIGMA, WD, WS, W_SIGMA, ZL</t>
  </si>
  <si>
    <t>CA-TP1</t>
  </si>
  <si>
    <t>Ontario - Turkey Point 2002 Plantation White Pine</t>
  </si>
  <si>
    <t>M. Altaf Arain (arainm@mcmaster.ca)</t>
  </si>
  <si>
    <t>2002, 2003, 2004, 2005, 2006, 2007, 2008, 2009, 2010, 2011, 2012, 2013, 2014, 2015, 2016, 2017</t>
  </si>
  <si>
    <t>https://doi.org/10.17190/AMF/1246009</t>
  </si>
  <si>
    <t>https://doi.org/10.17190/AMF/2006962</t>
  </si>
  <si>
    <t>CO2, FC, G, GPP, H, H2O, LE, NEE, NETRAD, P, PA, PPFD_IN, PPFD_OUT, P_RAIN, RECO, RH, SC, SH, SWC, SW_IN, TA, TS, USTAR, VPD, V_SIGMA, WD, WS, W_SIGMA</t>
  </si>
  <si>
    <t>CA-TP2</t>
  </si>
  <si>
    <t>Ontario - Turkey Point 1989 Plantation White Pine</t>
  </si>
  <si>
    <t>2002, 2003, 2004, 2005, 2006, 2007, 2008</t>
  </si>
  <si>
    <t>https://doi.org/10.17190/AMF/1246010</t>
  </si>
  <si>
    <t>CO2, FC, G, GPP, H, H2O, LE, NEE, NETRAD, P, PA, PPFD_BC_IN, PPFD_IN, PPFD_OUT, RECO, RH, SC, SH, SWC, SW_IN, TA, TS, USTAR, VPD, V_SIGMA, WD, WS, W_SIGMA</t>
  </si>
  <si>
    <t>CA-TP3</t>
  </si>
  <si>
    <t>Ontario - Turkey Point 1974 Plantation White Pine</t>
  </si>
  <si>
    <t>https://doi.org/10.17190/AMF/1246011</t>
  </si>
  <si>
    <t>https://doi.org/10.17190/AMF/1881566</t>
  </si>
  <si>
    <t>CA-TP4</t>
  </si>
  <si>
    <t>Ontario - Turkey Point 1939 Plantation White Pine</t>
  </si>
  <si>
    <t>https://doi.org/10.17190/AMF/1246012</t>
  </si>
  <si>
    <t>CO2, D_SNOW, FC, G, GPP, H, H2O, LE, LW_IN, LW_OUT, NEE, NETRAD, P, PA, PPFD_BC_IN, PPFD_IN, PPFD_OUT, P_RAIN, RECO, RH, SC, SH, SWC, SW_IN, SW_OUT, TA, TS, USTAR, VPD, V_SIGMA, WD, WS, W_SIGMA, WTD</t>
  </si>
  <si>
    <t>CA-TPA</t>
  </si>
  <si>
    <t>Ontario Turkey Point Observatory Agricultural Site</t>
  </si>
  <si>
    <t>CA-TPD</t>
  </si>
  <si>
    <t>Ontario - Turkey Point Mature Deciduous</t>
  </si>
  <si>
    <t>2012, 2013, 2014, 2015, 2016, 2017</t>
  </si>
  <si>
    <t>https://doi.org/10.17190/AMF/1246152</t>
  </si>
  <si>
    <t>https://doi.org/10.17190/AMF/1881567</t>
  </si>
  <si>
    <t>CO2, D_SNOW, FC, G, GPP, H, H2O, LE, LW_IN, LW_OUT, NEE, NETRAD, P, PA, PPFD_BC_IN, PPFD_IN, PPFD_OUT, P_RAIN, RECO, RH, SC, SH, SWC, SW_IN, SW_OUT, TA, TS, USTAR, VPD, V_SIGMA, WD, WS, W_SIGMA</t>
  </si>
  <si>
    <t>CA-TVC</t>
  </si>
  <si>
    <t>Trail Valley Creek</t>
  </si>
  <si>
    <t>Philip Marsh (pmarsh@wlu.ca)</t>
  </si>
  <si>
    <t>https://doi.org/10.17190/AMF/1767831</t>
  </si>
  <si>
    <t>ALB, CO2, D_SNOW, FC, FCH4, FCH4_SSITC_TEST, FC_SSITC_TEST, GPP, H, H2O, H_SSITC_TEST, LE, LE_SSITC_TEST, LW_IN, LW_OUT, MO_LENGTH, NEE, P, PA, RECO, RH, SC, SCH4, SH, SLE, SW_IN, SW_OUT, TA, T_SONIC, U_SIGMA, USTAR, VPD, V_SIGMA, WD, WS, W_SIGMA, ZL</t>
  </si>
  <si>
    <t>CA-WP1</t>
  </si>
  <si>
    <t>Alberta - Western Peatland - LaBiche River,Black Spruce/Larch Fen</t>
  </si>
  <si>
    <t>2003, 2004, 2005, 2006, 2007, 2008, 2009</t>
  </si>
  <si>
    <t>https://doi.org/10.17190/AMF/1436323</t>
  </si>
  <si>
    <t>CO2, D_SNOW, FC, GPP, H, H2O, LE, LW_IN, LW_OUT, NEE, NETRAD, PA, PPFD_DIF, PPFD_DIR, PPFD_IN, PPFD_OUT, P_RAIN, RECO, RH, SWC, SW_IN, SW_OUT, TA, TS, USTAR, WD, WS, WTD</t>
  </si>
  <si>
    <t>CA-WP2</t>
  </si>
  <si>
    <t>Alberta - Western Peatland - Poor Fen (Sphagnum moss)</t>
  </si>
  <si>
    <t>2004, 2005, 2006</t>
  </si>
  <si>
    <t>https://doi.org/10.17190/AMF/1436324</t>
  </si>
  <si>
    <t>CO2, D_SNOW, FC, H, H2O, LE, NEE, NETRAD, PA, PPFD_IN, PPFD_OUT, P_RAIN, RH, SW_IN, TA, TS, USTAR, WD, WS, WTD</t>
  </si>
  <si>
    <t>CA-WP3</t>
  </si>
  <si>
    <t>Alberta - Western Peatland - Rich Fen  (Carex)</t>
  </si>
  <si>
    <t>https://doi.org/10.17190/AMF/1436325</t>
  </si>
  <si>
    <t>CA-WRF</t>
  </si>
  <si>
    <t>White River Fen</t>
  </si>
  <si>
    <t>CL-ACF</t>
  </si>
  <si>
    <t>Alerce Costero Forest</t>
  </si>
  <si>
    <t>Antonio Lara (antoniolaraaguilar@gmail.com)</t>
  </si>
  <si>
    <t>Chile</t>
  </si>
  <si>
    <t>CL-SDF</t>
  </si>
  <si>
    <t>Senda Darwin Forest</t>
  </si>
  <si>
    <t>Juan J. Armesto (jarmesto@bio.puc.cl)</t>
  </si>
  <si>
    <t>2014, 2015, 2016, 2017, 2018, 2019, 2020, 2021, 2022</t>
  </si>
  <si>
    <t>https://doi.org/10.17190/AMF/1902273</t>
  </si>
  <si>
    <t>2014, 2015, 2016, 2017, 2018, 2019, 2020, 2021</t>
  </si>
  <si>
    <t>https://doi.org/10.17190/AMF/2469441</t>
  </si>
  <si>
    <t>CO2, CO2_MIXING_RATIO, FC, FETCH_70, FETCH_90, FETCH_MAX, G, GPP, H, H2O, H2O_MIXING_RATIO, LE, LW_IN, LW_OUT, MO_LENGTH, NEE, NETRAD, PA, P_RAIN, RECO, RH, SWC, SW_IN, SW_OUT, TA, TAU, T_CANOPY, TS, T_SONIC, T_SONIC_SIGMA, U_SIGMA, USTAR, V_SIGMA, WD, WS, W_SIGMA, WS_MAX, WTD, ZL</t>
  </si>
  <si>
    <t>CL-SDP</t>
  </si>
  <si>
    <t>Senda Darwin Peatland</t>
  </si>
  <si>
    <t>Jorge Perez-Quezada (jorgepq@uchile.cl)</t>
  </si>
  <si>
    <t>https://doi.org/10.17190/AMF/1902274</t>
  </si>
  <si>
    <t>CO-GV1</t>
  </si>
  <si>
    <t>Guatavita Station 1</t>
  </si>
  <si>
    <t>Juan C. Benavides (jubenavides@javeriana.edu.co)</t>
  </si>
  <si>
    <t>Colombia</t>
  </si>
  <si>
    <t>CO-GV2</t>
  </si>
  <si>
    <t>Guatavita Station 2</t>
  </si>
  <si>
    <t>CR-Dos</t>
  </si>
  <si>
    <t>La Selva T2</t>
  </si>
  <si>
    <t>Ulli Seibt (useibt@ucla.edu)</t>
  </si>
  <si>
    <t>Costa Rica</t>
  </si>
  <si>
    <t>CR-Fsc</t>
  </si>
  <si>
    <t>Filadelfia sugar cane cropland</t>
  </si>
  <si>
    <t>2015, 2016, 2017, 2018</t>
  </si>
  <si>
    <t>https://doi.org/10.17190/AMF/1829504</t>
  </si>
  <si>
    <t>CO2, CO2_MIXING_RATIO, FC, FC_SSITC_TEST, G, GPP, H, H2O, H2O_MIXING_RATIO, H_SSITC_TEST, LE, LE_SSITC_TEST, LW_IN, LW_OUT, MO_LENGTH, NDVI, NEE, NETRAD, P, PA, P_RAIN, PRI, RECO, RH, SC, SH, SLE, SWC, SW_IN, SW_OUT, SWP, TA, TAU, TAU_SSITC_TEST, TS, T_SONIC, USTAR, VPD, WD, WS, ZL</t>
  </si>
  <si>
    <t>CR-Lse</t>
  </si>
  <si>
    <t>La Selva</t>
  </si>
  <si>
    <t>Hank Loescher (hloescher@neoninc.org)</t>
  </si>
  <si>
    <t>1997, 1998, 1999</t>
  </si>
  <si>
    <t>https://doi.org/10.17190/AMF/1246013</t>
  </si>
  <si>
    <t>CR-Nmr</t>
  </si>
  <si>
    <t>Nicoya melon-rice cropland</t>
  </si>
  <si>
    <t>CR-SoC</t>
  </si>
  <si>
    <t>Soltis Center</t>
  </si>
  <si>
    <t>Gretchen Miller (gmiller@civil.tamu.edu)</t>
  </si>
  <si>
    <t>2014, 2015, 2016, 2017, 2018</t>
  </si>
  <si>
    <t>https://doi.org/10.17190/AMF/1880911</t>
  </si>
  <si>
    <t>CO2, FC, FETCH_70, FETCH_90, G, H, H2O, LE, LEAF_WET, LW_IN, LW_OUT, NETRAD, P, PA, PPFD_IN, RH, SWC, SW_IN, SW_OUT, TA, TAU, T_CANOPY, TS, T_SONIC, U_SIGMA, USTAR, VPD, V_SIGMA, WD, WS, W_SIGMA, WS_MAX</t>
  </si>
  <si>
    <t>MX-Aog</t>
  </si>
  <si>
    <t>Alamos Old-Growth tropical dry forest</t>
  </si>
  <si>
    <t>Enrico A. Yepez (enrico.yepez@itson.edu.mx)</t>
  </si>
  <si>
    <t>Mexico</t>
  </si>
  <si>
    <t>https://doi.org/10.17190/AMF/1756414</t>
  </si>
  <si>
    <t>CO2, FC, FC_SSITC_TEST, FETCH_70, FETCH_90, G, H, H2O, H_SSITC_TEST, LE, LE_SSITC_TEST, LW_IN, LW_OUT, MO_LENGTH, PA, PPFD_IN, P_RAIN, RH, SC, SH, SLE, SWC, SW_IN, SW_OUT, TA, TAU, TAU_SSITC_TEST, T_SONIC, USTAR, VPD, WD, WS, WS_MAX, ZL</t>
  </si>
  <si>
    <t>MX-Asf</t>
  </si>
  <si>
    <t>Alamos Mid-Secondary tropical dry forest</t>
  </si>
  <si>
    <t>MX-BRN</t>
  </si>
  <si>
    <t>Bernal</t>
  </si>
  <si>
    <t>Aurelio Guevara-Escobar (guevara@uaq.mx)</t>
  </si>
  <si>
    <t>Bsk</t>
  </si>
  <si>
    <t>Steppe: warm winter</t>
  </si>
  <si>
    <t>MX-CLS</t>
  </si>
  <si>
    <t>Coastal Lagoon, Gulf of California</t>
  </si>
  <si>
    <t>Zulia M Sanchez-Mejia (zulia.sanchez@itson.edu.mx)</t>
  </si>
  <si>
    <t>WAT</t>
  </si>
  <si>
    <t>Water Bodies : Oceans, seas, lakes, reservoirs, and rivers. Can be either fresh or salt- water bodies.</t>
  </si>
  <si>
    <t>Bwh</t>
  </si>
  <si>
    <t>Desert: warm winter</t>
  </si>
  <si>
    <t>MX-EMg</t>
  </si>
  <si>
    <t>El Mogor</t>
  </si>
  <si>
    <t>Stephen H. Bullock (sbullock@cicese.mx)</t>
  </si>
  <si>
    <t>CSH</t>
  </si>
  <si>
    <t>Closed Shrublands: Lands with woody vegetation less than 2 meters tall and with shrub canopy cover &gt;60%. The shrub foliage can be either evergreen or deciduous.</t>
  </si>
  <si>
    <t>2015, 2016, 2017</t>
  </si>
  <si>
    <t>https://doi.org/10.17190/AMF/1717849</t>
  </si>
  <si>
    <t>CO2, FC, FETCH_70, FETCH_90, G, H, H2O, LE, NETRAD, P, PA, PPFD_IN, P_RAIN, RH, SWC, TA, TAU, TS, USTAR, VPD, WD, WS</t>
  </si>
  <si>
    <t>MX-Iit</t>
  </si>
  <si>
    <t>Instituto de Ingenieria y Tecnologia - UACJ</t>
  </si>
  <si>
    <t>Eli R. Perez-Ruiz (eli.perez@uacj.mx)</t>
  </si>
  <si>
    <t>URB</t>
  </si>
  <si>
    <t>Urban and Built-Up Lands: Land covered by buildings and other man-made structures.</t>
  </si>
  <si>
    <t>Bwk</t>
  </si>
  <si>
    <t>Desert: very cold winter</t>
  </si>
  <si>
    <t>MX-ISD</t>
  </si>
  <si>
    <t>San Isidro</t>
  </si>
  <si>
    <t>Dulce Flores-Renteria (yaahid.flores@cinvestav.edu.mx)</t>
  </si>
  <si>
    <t>MX-Lpa</t>
  </si>
  <si>
    <t>La Paz</t>
  </si>
  <si>
    <t>Walter Oechel (woechel@mail.sdsu.edu)</t>
  </si>
  <si>
    <t>2004, 2005, 2006, 2007, 2008</t>
  </si>
  <si>
    <t>https://doi.org/10.17190/AMF/1246014</t>
  </si>
  <si>
    <t>MX-Oak</t>
  </si>
  <si>
    <t>Encino, North American monsoon oak savanna</t>
  </si>
  <si>
    <t>Julio C. Rodriguez (jcrod@guayacan.uson.mx)</t>
  </si>
  <si>
    <t>MX-PMm</t>
  </si>
  <si>
    <t>Puerto Morelos mangrove</t>
  </si>
  <si>
    <t>Susana Alvarado-Barrientos (susana.alvarado@gmail.com)</t>
  </si>
  <si>
    <t>2017, 2018</t>
  </si>
  <si>
    <t>https://doi.org/10.17190/AMF/1756415</t>
  </si>
  <si>
    <t>CO2, FC, FC_SSITC_TEST, FETCH_70, FETCH_90, FETCH_FILTER, FETCH_MAX, G, H, H_SSITC_TEST, LE, LE_SSITC_TEST, LW_IN, LW_OUT, MO_LENGTH, NETRAD, PA, PPFD_IN, P_RAIN, RH, SC, SW_IN, SW_OUT, TA, TAU, TAU_SSITC_TEST, TS, T_SONIC, TW, U_SIGMA, USTAR, VPD, V_SIGMA, WD, WS, W_SIGMA, WS_MAX, WTD, ZL</t>
  </si>
  <si>
    <t>MX-Ray</t>
  </si>
  <si>
    <t>Rayon, monsoon subtropical shrubland</t>
  </si>
  <si>
    <t>2007, 2008, 2009, 2010, 2011, 2012</t>
  </si>
  <si>
    <t>https://doi.org/10.17190/AMF/1829505</t>
  </si>
  <si>
    <t>CO2, FC, G, H, H2O, LE, LW_IN, LW_OUT, PA, RH, SWC, SW_IN, SW_OUT, TA, TS, T_SONIC, USTAR, VPD, WD, WS</t>
  </si>
  <si>
    <t>MX-Sgt</t>
  </si>
  <si>
    <t>Sonoran short arid Mangrove</t>
  </si>
  <si>
    <t>MX-Tes</t>
  </si>
  <si>
    <t>Tesopaco, secondary tropical dry forest</t>
  </si>
  <si>
    <t>Jaime Garatuza (garatuza@itson.edu.mx)</t>
  </si>
  <si>
    <t>https://doi.org/10.17190/AMF/1767832</t>
  </si>
  <si>
    <t>https://doi.org/10.17190/AMF/1832156</t>
  </si>
  <si>
    <t>CO2, FC, G, H, H2O, LE, LW_IN, LW_OUT, PA, P_RAIN, RH, SWC, SW_IN, SW_OUT, TA, T_SONIC, USTAR, VPD, WD, WS</t>
  </si>
  <si>
    <t>PA-Bar</t>
  </si>
  <si>
    <t>Barro Colorado Island</t>
  </si>
  <si>
    <t>Joseph Wright (WRIGHTJ@si.edu)</t>
  </si>
  <si>
    <t>Panama</t>
  </si>
  <si>
    <t>PA-Bas</t>
  </si>
  <si>
    <t>Matteo Detto (teoparaglider@gmail.com)</t>
  </si>
  <si>
    <t>PE-AMG</t>
  </si>
  <si>
    <t>Los Amigos</t>
  </si>
  <si>
    <t>Norma Salinas (nsalinasr@pucp.pe)</t>
  </si>
  <si>
    <t>Peru</t>
  </si>
  <si>
    <t>PE-BRE</t>
  </si>
  <si>
    <t>El Breo</t>
  </si>
  <si>
    <t>PE-PAN</t>
  </si>
  <si>
    <t>Panguana</t>
  </si>
  <si>
    <t>Quistococha Forest Reserve</t>
  </si>
  <si>
    <t>Timothy Griffis (tgriffis@umn.edu)</t>
  </si>
  <si>
    <t>2018, 2019, 2020, 2021, 2022</t>
  </si>
  <si>
    <t>https://doi.org/10.17190/AMF/1671889</t>
  </si>
  <si>
    <t>2018, 2019</t>
  </si>
  <si>
    <t>https://doi.org/10.17190/AMF/1832157</t>
  </si>
  <si>
    <t>CH4, CH4_MIXING_RATIO, CO2, CO2_MIXING_RATIO, FC, FCH4, H, H2O, H2O_MIXING_RATIO, LE, NEE, NETRAD, PA, PPFD_IN, RH, SC, SCH4, SH, SLE, SW_IN, TA, TS, T_SONIC, USTAR, WD, WS</t>
  </si>
  <si>
    <t>PE-TNR</t>
  </si>
  <si>
    <t>Tambopata</t>
  </si>
  <si>
    <t>PR-xGU</t>
  </si>
  <si>
    <t>NEON Guanica Forest (GUAN)</t>
  </si>
  <si>
    <t>National Ecological Observatory Network (neon-ameriflux@battelleecology.org)</t>
  </si>
  <si>
    <t>Puerto Rico</t>
  </si>
  <si>
    <t>https://doi.org/10.17190/AMF/1773393</t>
  </si>
  <si>
    <t>CH4, CH4_MIXING_RATIO, CO2, CO2C13, CO2_MIXING_RATIO, FC, FETCH_90, FETCH_MAX, G, H, H2O, H2O_MIXING_RATIO, LE, LW_BC_IN, LW_BC_OUT, LW_IN, LW_OUT, NEE, NETRAD, P, PA, PPFD_BC_IN, PPFD_IN, PPFD_OUT, RH, SC, SH, SLE, SWC, SW_DIF, SW_IN, SW_OUT, TA, T_CANOPY, THROUGHFALL, TS, T_SONIC, T_SONIC_SIGMA, USTAR, VPD, V_SIGMA, WD, WS, WS_MAX</t>
  </si>
  <si>
    <t>PR-xLA</t>
  </si>
  <si>
    <t>NEON Lajas Experimental Station (LAJA)</t>
  </si>
  <si>
    <t>https://doi.org/10.17190/AMF/1773394</t>
  </si>
  <si>
    <t>CH4, CH4_MIXING_RATIO, CO2, CO2C13, CO2_MIXING_RATIO, FC, FETCH_90, FETCH_MAX, G, H, H2O, H2O_MIXING_RATIO, LE, LW_BC_IN, LW_BC_OUT, LW_IN, LW_OUT, NEE, NETRAD, P, PA, PPFD_BC_IN, PPFD_IN, PPFD_OUT, RH, SC, SH, SLE, SWC, SW_DIF, SW_IN, SW_OUT, TA, T_CANOPY, TS, T_SONIC, T_SONIC_SIGMA, USTAR, VPD, V_SIGMA, WD, WS, WS_MAX</t>
  </si>
  <si>
    <t>US-A03</t>
  </si>
  <si>
    <t>ARM-AMF3-Oliktok</t>
  </si>
  <si>
    <t>Ryan Sullivan (rcsullivan@anl.gov)</t>
  </si>
  <si>
    <t>USA</t>
  </si>
  <si>
    <t>https://doi.org/10.17190/AMF/1498752</t>
  </si>
  <si>
    <t>ALB, CH4, CO2, FC, FCH4, G, H, H2O, LE, LW_IN, LW_OUT, NEE, NETRAD, PA, PPFD_IN, PPFD_OUT, RH, SWC, SW_IN, SW_OUT, TS, T_SONIC, T_SONIC_SIGMA, U_SIGMA, USTAR, V_SIGMA, WD, WS, W_SIGMA, ZL</t>
  </si>
  <si>
    <t>US-A10</t>
  </si>
  <si>
    <t>ARM-NSA-Barrow</t>
  </si>
  <si>
    <t>2011, 2012, 2013, 2014, 2015, 2016, 2017, 2018, 2019, 2020</t>
  </si>
  <si>
    <t>https://doi.org/10.17190/AMF/1498753</t>
  </si>
  <si>
    <t>US-A32</t>
  </si>
  <si>
    <t>ARM-SGP Medford hay pasture</t>
  </si>
  <si>
    <t>Sebastien Biraud (scbiraud@lbl.gov)</t>
  </si>
  <si>
    <t>https://doi.org/10.17190/AMF/1436327</t>
  </si>
  <si>
    <t>https://doi.org/10.17190/AMF/1881568</t>
  </si>
  <si>
    <t>ALB, CO2, FC, G, H, H2O, LE, LW_IN, LW_OUT, NDVI, NEE, NETRAD, PA, PPFD_IN, PPFD_OUT, P_RAIN, PRI, RH, SWC, SW_DIF, SW_DIR, SW_IN, SW_OUT, TA, T_CANOPY, TS, T_SONIC, T_SONIC_SIGMA, U_SIGMA, USTAR, V_SIGMA, WD, WS, W_SIGMA, ZL</t>
  </si>
  <si>
    <t>US-A37</t>
  </si>
  <si>
    <t>ARM-SGP-Waukomis</t>
  </si>
  <si>
    <t>US-A39</t>
  </si>
  <si>
    <t>ARM-SGP-Morrison</t>
  </si>
  <si>
    <t>US-A74</t>
  </si>
  <si>
    <t>ARM SGP milo field</t>
  </si>
  <si>
    <t>https://doi.org/10.17190/AMF/1436328</t>
  </si>
  <si>
    <t>2016, 2017</t>
  </si>
  <si>
    <t>https://doi.org/10.17190/AMF/2006963</t>
  </si>
  <si>
    <t>US-AaG</t>
  </si>
  <si>
    <t>Arkansas Grassland</t>
  </si>
  <si>
    <t>Quan Zhang (quan.zhang@whu.edu.cn)</t>
  </si>
  <si>
    <t>US-Act</t>
  </si>
  <si>
    <t>Acton Lake Flux Tower Site</t>
  </si>
  <si>
    <t>Sarah Waldo (waldo.sarah@epa.gov)</t>
  </si>
  <si>
    <t>https://doi.org/10.17190/AMF/1846660</t>
  </si>
  <si>
    <t>CH4, CO2, CO2_SIGMA, FC, FCH4, FCH4_SSITC_TEST, FC_SSITC_TEST, FETCH_70, FETCH_90, FETCH_FILTER, FETCH_MAX, H, H2O, H2O_SIGMA, H_SSITC_TEST, LE, LE_SSITC_TEST, MO_LENGTH, NETRAD, P, PA, P_RAIN, RH, SC, SCH4, SH, SLE, TA, TAU, TAU_SSITC_TEST, TS, T_SONIC, TW, U_SIGMA, USTAR, VPD, V_SIGMA, WD, WS, W_SIGMA, WS_MAX, WTD, ZL</t>
  </si>
  <si>
    <t>US-ADR</t>
  </si>
  <si>
    <t>Amargosa Desert Research Site (ADRS)</t>
  </si>
  <si>
    <t>Michael Moreo (mtmoreo@usgs.gov)</t>
  </si>
  <si>
    <t>2011, 2012, 2013, 2014, 2015, 2016, 2017</t>
  </si>
  <si>
    <t>https://doi.org/10.17190/AMF/1418680</t>
  </si>
  <si>
    <t>CO2, FC, FC_SSITC_TEST, FETCH_70, FETCH_90, FETCH_MAX, G, H, H_SSITC_TEST, LE, LE_SSITC_TEST, MO_LENGTH, NETRAD, PA, PPFD_IN, P_RAIN, RH, SWC, TA, TAU, TAU_SSITC_TEST, TS, T_SONIC, T_SONIC_SIGMA, U_SIGMA, USTAR, VPD, V_SIGMA, WD, WS, W_SIGMA, WS_MAX, ZL</t>
  </si>
  <si>
    <t>US-AF1</t>
  </si>
  <si>
    <t>MPG - Apricot Lane Farms</t>
  </si>
  <si>
    <t>Gaby De La Roca (gaby@apricotlanefarms.com)</t>
  </si>
  <si>
    <t>US-Akn</t>
  </si>
  <si>
    <t>Savannah River Site</t>
  </si>
  <si>
    <t>Brian Viner (brian.viner@srnl.doe.gov)</t>
  </si>
  <si>
    <t>2011, 2012, 2013, 2014, 2015, 2016, 2017, 2018, 2019, 2020, 2021, 2022</t>
  </si>
  <si>
    <t>https://doi.org/10.17190/AMF/1246141</t>
  </si>
  <si>
    <t>https://doi.org/10.17190/AMF/2469442</t>
  </si>
  <si>
    <t>ALB, CO2, CO2_MIXING_RATIO, CO2_SIGMA, FC, FC_SSITC_TEST, FETCH_70, FETCH_80, FETCH_90, FETCH_MAX, H, H2O, H2O_MIXING_RATIO, H2O_SIGMA, H_SSITC_TEST, LE, LE_SSITC_TEST, MO_LENGTH, PA, P_RAIN, RH, SC, SH, SLE, SW_IN, SW_OUT, TA, TAU, TAU_SSITC_TEST, T_SONIC, T_SONIC_SIGMA, U_SIGMA, USTAR, VPD, V_SIGMA, WD, WS, W_SIGMA, WS_MAX, ZL</t>
  </si>
  <si>
    <t>Allequash Creek Site</t>
  </si>
  <si>
    <t>Ankur Desai (desai@aos.wisc.edu)</t>
  </si>
  <si>
    <t>2015, 2016, 2017, 2018, 2019, 2020, 2021, 2022, 2023, 2024</t>
  </si>
  <si>
    <t>https://doi.org/10.17190/AMF/1480323</t>
  </si>
  <si>
    <t>2015, 2016, 2017, 2018, 2019, 2020, 2021, 2022, 2023</t>
  </si>
  <si>
    <t>https://doi.org/10.17190/AMF/2006964</t>
  </si>
  <si>
    <t>CH4, CO2, FC, FCH4, FCH4_SSITC_TEST, FC_SSITC_TEST, FETCH_90, FETCH_MAX, GPP, H, H2O, H_SSITC_TEST, LE, LE_SSITC_TEST, LW_IN, LW_OUT, MO_LENGTH, NEE, NETRAD, P, PA, PPFD_IN, RECO, RH, SC, SCH4, SH, SLE, SW_IN, SW_OUT, TA, TW, U_SIGMA, USTAR, VPD, V_SIGMA, WD, WS, W_SIGMA, WTD</t>
  </si>
  <si>
    <t>US-AMS</t>
  </si>
  <si>
    <t>Argonne Testbed for Multiscale Observational Science (ATMOS)</t>
  </si>
  <si>
    <t>Roser Matamala (matamala@anl.gov)</t>
  </si>
  <si>
    <t>US-An1</t>
  </si>
  <si>
    <t>Anaktuvuk River Severe Burn</t>
  </si>
  <si>
    <t>Adrian Rocha (arocha1@nd.edu)</t>
  </si>
  <si>
    <t>2008, 2009, 2010, 2011, 2012, 2013, 2014, 2015, 2016, 2017, 2018, 2019</t>
  </si>
  <si>
    <t>https://doi.org/10.17190/AMF/1246142</t>
  </si>
  <si>
    <t>FC, G, H, LE, LW_IN, LW_OUT, NETRAD, PA, PPFD_IN, PPFD_OUT, RH, SW_IN, SW_OUT, TA, USTAR, WD, WS</t>
  </si>
  <si>
    <t>US-An2</t>
  </si>
  <si>
    <t>Anaktuvuk River Moderate Burn</t>
  </si>
  <si>
    <t>https://doi.org/10.17190/AMF/1246143</t>
  </si>
  <si>
    <t>US-An3</t>
  </si>
  <si>
    <t>Anaktuvuk River Unburned</t>
  </si>
  <si>
    <t>https://doi.org/10.17190/AMF/1246144</t>
  </si>
  <si>
    <t>US-AoL</t>
  </si>
  <si>
    <t>Low Density Apple Orchard</t>
  </si>
  <si>
    <t>Julianna Wilson (jkwilson@msu.edu)</t>
  </si>
  <si>
    <t>US-AR1</t>
  </si>
  <si>
    <t>ARM USDA UNL OSU Woodward Switchgrass 1</t>
  </si>
  <si>
    <t>Margaret Torn (mstorn@lbl.gov)</t>
  </si>
  <si>
    <t>Dsa</t>
  </si>
  <si>
    <t>Dry Continental: hot summer</t>
  </si>
  <si>
    <t>2009, 2010, 2011, 2012</t>
  </si>
  <si>
    <t>https://doi.org/10.17190/AMF/1246137</t>
  </si>
  <si>
    <t>https://doi.org/10.17190/AMF/2006965</t>
  </si>
  <si>
    <t>CO2, FC, G, H, H2O, LE, LW_IN, LW_OUT, NETRAD, P, PA, PPFD_IN, PPFD_OUT, RH, SWC, SW_IN, SW_OUT, TA, TS, USTAR, VPD, WD, WS</t>
  </si>
  <si>
    <t>US-AR2</t>
  </si>
  <si>
    <t>ARM USDA UNL OSU Woodward Switchgrass 2</t>
  </si>
  <si>
    <t>https://doi.org/10.17190/AMF/1246138</t>
  </si>
  <si>
    <t>https://doi.org/10.17190/AMF/2006966</t>
  </si>
  <si>
    <t>US-ARb</t>
  </si>
  <si>
    <t>ARM Southern Great Plains burn site- Lamont</t>
  </si>
  <si>
    <t>2005, 2006</t>
  </si>
  <si>
    <t>https://doi.org/10.17190/AMF/1246025</t>
  </si>
  <si>
    <t>https://doi.org/10.17190/AMF/2006967</t>
  </si>
  <si>
    <t>CO2, FC, G, H, H2O, LE, NETRAD, P, PA, PPFD_IN, RH, SW_IN, TA, USTAR, VPD, WD, WS</t>
  </si>
  <si>
    <t>US-ARc</t>
  </si>
  <si>
    <t>ARM Southern Great Plains control site- Lamont</t>
  </si>
  <si>
    <t>https://doi.org/10.17190/AMF/1246026</t>
  </si>
  <si>
    <t>https://doi.org/10.17190/AMF/2006968</t>
  </si>
  <si>
    <t>ARM Southern Great Plains site- Lamont</t>
  </si>
  <si>
    <t>Sebastien Biraud (SCBiraud@lbl.gov)</t>
  </si>
  <si>
    <t>2003, 2004, 2005, 2006, 2007, 2008, 2009, 2010, 2011, 2012, 2013, 2014, 2015, 2016, 2017, 2018, 2019, 2020, 2021, 2022, 2023, 2024</t>
  </si>
  <si>
    <t>https://doi.org/10.17190/AMF/1246027</t>
  </si>
  <si>
    <t>2003, 2004, 2005, 2006, 2007, 2008, 2009, 2010, 2011, 2012, 2013, 2014, 2015, 2016, 2017, 2018, 2019, 2020, 2021, 2022, 2023</t>
  </si>
  <si>
    <t>https://doi.org/10.17190/AMF/1854366</t>
  </si>
  <si>
    <t>CO2, FC, FC_SSITC_TEST, FETCH_70, FETCH_80, FETCH_90, FETCH_MAX, G, H, H2O, H_SSITC_TEST, LE, LE_SSITC_TEST, LW_IN, LW_OUT, MO_LENGTH, NETRAD, P, PA, PPFD_IN, PPFD_OUT, RH, SWC, SW_DIF, SW_DIR, SW_IN, SW_OUT, TA, TAU, TAU_SSITC_TEST, T_CANOPY, TS, T_SONIC, T_SONIC_SIGMA, U_SIGMA, USTAR, V_SIGMA, WD, WS, W_SIGMA, WS_MAX</t>
  </si>
  <si>
    <t>US-ASH</t>
  </si>
  <si>
    <t>USSL San Joaquin Valley Almond High Salinity</t>
  </si>
  <si>
    <t>Ray G. Anderson (ray.anderson@usda.gov)</t>
  </si>
  <si>
    <t>https://doi.org/10.17190/AMF/1634880</t>
  </si>
  <si>
    <t>https://doi.org/10.17190/AMF/2469443</t>
  </si>
  <si>
    <t>CO2, FC, FC_SSITC_TEST, FETCH_70, FETCH_80, FETCH_90, FETCH_FILTER, FETCH_MAX, G, H, H2O, H_SSITC_TEST, LE, LE_SSITC_TEST, NETRAD, PA, RH, SW_IN, TA, TS, T_SONIC, T_SONIC_SIGMA, USTAR, VPD, WD, WS</t>
  </si>
  <si>
    <t>US-ASL</t>
  </si>
  <si>
    <t>USSL San Joaquin Valley Almond Low Salinity</t>
  </si>
  <si>
    <t>https://doi.org/10.17190/AMF/1617706</t>
  </si>
  <si>
    <t>US-ASM</t>
  </si>
  <si>
    <t>USSL San Joaquin Valley Almond Medium Salinity</t>
  </si>
  <si>
    <t>https://doi.org/10.17190/AMF/1617709</t>
  </si>
  <si>
    <t>https://doi.org/10.17190/AMF/2469444</t>
  </si>
  <si>
    <t>US-Atq</t>
  </si>
  <si>
    <t>Atqasuk</t>
  </si>
  <si>
    <t>Walt Oechel (woechel@mail.sdsu.edu)</t>
  </si>
  <si>
    <t>1999, 2000, 2001, 2002, 2003, 2004, 2005, 2006</t>
  </si>
  <si>
    <t>https://doi.org/10.17190/AMF/1246029</t>
  </si>
  <si>
    <t>US-Aud</t>
  </si>
  <si>
    <t>Audubon Research Ranch</t>
  </si>
  <si>
    <t>Tilden Meyers (Tilden.Meyers@noaa.gov)</t>
  </si>
  <si>
    <t>https://doi.org/10.17190/AMF/1246028</t>
  </si>
  <si>
    <t>Bartlett Experimental Forest</t>
  </si>
  <si>
    <t>Andrew Richardson (Andrew.Richardson@nau.edu)</t>
  </si>
  <si>
    <t>2004, 2005, 2006, 2007, 2008, 2009, 2010, 2011, 2012, 2013, 2014, 2015, 2016, 2017, 2018, 2019, 2020, 2021, 2022, 2023, 2024</t>
  </si>
  <si>
    <t>https://doi.org/10.17190/AMF/1246030</t>
  </si>
  <si>
    <t>2004, 2005, 2006, 2007, 2008, 2009, 2010, 2011, 2012, 2013, 2014, 2015, 2016, 2017, 2018, 2019, 2020, 2021, 2022</t>
  </si>
  <si>
    <t>https://doi.org/10.17190/AMF/2006969</t>
  </si>
  <si>
    <t>CO2, FC, H, LE, NETRAD, P, PA, PPFD_BC_IN, PPFD_DIF, PPFD_DIR, PPFD_IN, PPFD_OUT, RH, SWC, SW_IN, SW_OUT, TA, TS, USTAR, VPD, WD, WS</t>
  </si>
  <si>
    <t>US-BCM</t>
  </si>
  <si>
    <t>Blue Cypress Marsh</t>
  </si>
  <si>
    <t>Charless Ross Hinkle (rhinkle@ucf.edu)</t>
  </si>
  <si>
    <t>US-Bd4</t>
  </si>
  <si>
    <t>Burdette Farm Rice Field - 4N</t>
  </si>
  <si>
    <t>Michele L. Reba (Michele.Reba@usda.gov)</t>
  </si>
  <si>
    <t>US-Bd5</t>
  </si>
  <si>
    <t>Burdette Farm Rice Field - Seagraves South</t>
  </si>
  <si>
    <t>US-Bd6</t>
  </si>
  <si>
    <t>Burdette Farm Rice - Seagraves North</t>
  </si>
  <si>
    <t>US-BdA</t>
  </si>
  <si>
    <t>Burdette Farm Rice Field - AWD</t>
  </si>
  <si>
    <t>Michele L. Reba (michele.reba@ars.usda.gov)</t>
  </si>
  <si>
    <t>US-BdC</t>
  </si>
  <si>
    <t>Burdette Farm Rice Field - conventional</t>
  </si>
  <si>
    <t>US-Beo</t>
  </si>
  <si>
    <t>Barrow Environmental Observatory (BEO) tower</t>
  </si>
  <si>
    <t>US-Bes</t>
  </si>
  <si>
    <t>Barrow-Bes (Biocomplexity Experiment South tower)</t>
  </si>
  <si>
    <t>W.C. Oechel (woechel@mail.sdsu.edu)</t>
  </si>
  <si>
    <t>US-BFS</t>
  </si>
  <si>
    <t>Robert J. Bernard Biological Field Station</t>
  </si>
  <si>
    <t>Sarah Kavassalis (skavassalis@g.hmc.edu)</t>
  </si>
  <si>
    <t>US-BgC</t>
  </si>
  <si>
    <t>Big Chico Creek</t>
  </si>
  <si>
    <t>John Knowles (John.knowles@montana.edu)</t>
  </si>
  <si>
    <t>Bouldin Island Alfalfa</t>
  </si>
  <si>
    <t>Dennis Baldocchi (Baldocchi@berkeley.edu)</t>
  </si>
  <si>
    <t>2016, 2017, 2018, 2019, 2020, 2021, 2022, 2023, 2024</t>
  </si>
  <si>
    <t>https://doi.org/10.17190/AMF/1480317</t>
  </si>
  <si>
    <t>2016, 2017, 2018, 2019, 2020, 2021</t>
  </si>
  <si>
    <t>https://doi.org/10.17190/AMF/1871134</t>
  </si>
  <si>
    <t>CH4, CO2, FC, FCH4, FCH4_SSITC_TEST, FC_SSITC_TEST, G, GPP, H, H2O, H_SSITC_TEST, LE, LE_SSITC_TEST, LW_IN, LW_OUT, MO_LENGTH, NDVI, NETRAD, P, PA, PPFD_IN, PPFD_OUT, PRI, RECO, RH, SPEC_NIR_IN, SPEC_NIR_OUT, SPEC_PRI_REF_IN, SPEC_PRI_REF_OUT, SPEC_PRI_TGT_IN, SPEC_PRI_TGT_OUT, SPEC_RED_IN, SPEC_RED_OUT, SWC, SW_IN, SW_OUT, TA, TAU, TAU_SSITC_TEST, TS, T_SONIC, T_SONIC_SIGMA, USTAR, VPD, V_SIGMA, WD, WS, W_SIGMA, ZL</t>
  </si>
  <si>
    <t>Bouldin Island corn</t>
  </si>
  <si>
    <t>Dennis Baldocchi (baldocchi@berkeley.edu)</t>
  </si>
  <si>
    <t>2017, 2018, 2019, 2020, 2021, 2022, 2023, 2024</t>
  </si>
  <si>
    <t>https://doi.org/10.17190/AMF/1419513</t>
  </si>
  <si>
    <t>2017, 2018, 2019, 2020, 2021</t>
  </si>
  <si>
    <t>https://doi.org/10.17190/AMF/1871135</t>
  </si>
  <si>
    <t>CH4, CO2, FC, FCH4, FCH4_SSITC_TEST, FC_SSITC_TEST, G, GPP, H, H2O, H_SSITC_TEST, LE, LE_SSITC_TEST, LW_IN, LW_OUT, MO_LENGTH, NETRAD, P, PA, PPFD_DIF, PPFD_IN, PPFD_OUT, RECO, RH, SPEC_NIR_IN, SPEC_NIR_OUT, SPEC_PRI_REF_IN, SPEC_PRI_REF_OUT, SPEC_PRI_TGT_IN, SPEC_PRI_TGT_OUT, SPEC_RED_IN, SPEC_RED_OUT, SWC, SW_IN, SW_OUT, TA, TAU, TAU_SSITC_TEST, TS, T_SONIC, T_SONIC_SIGMA, USTAR, VPD, V_SIGMA, WD, WS, W_SIGMA, ZL</t>
  </si>
  <si>
    <t>US-Bkg</t>
  </si>
  <si>
    <t>Brookings</t>
  </si>
  <si>
    <t>Dfa</t>
  </si>
  <si>
    <t>Humid Continental: humid with severe winter, no dry season, hot summer</t>
  </si>
  <si>
    <t>2004, 2005, 2006, 2007, 2008, 2009, 2010</t>
  </si>
  <si>
    <t>https://doi.org/10.17190/AMF/1246040</t>
  </si>
  <si>
    <t>US-Blk</t>
  </si>
  <si>
    <t>Black Hills</t>
  </si>
  <si>
    <t>https://doi.org/10.17190/AMF/1246031</t>
  </si>
  <si>
    <t>US-Blo</t>
  </si>
  <si>
    <t>Blodgett Forest</t>
  </si>
  <si>
    <t>Allen Goldstein (ahg@berkeley.edu)</t>
  </si>
  <si>
    <t>1997, 1998, 1999, 2000, 2001, 2002, 2003, 2004, 2005, 2006, 2007</t>
  </si>
  <si>
    <t>https://doi.org/10.17190/AMF/1246032</t>
  </si>
  <si>
    <t>FC, G, H, H2O, LE, NETRAD, P, PA, PPFD_IN, RH, TA, USTAR, VPD, WD, WS</t>
  </si>
  <si>
    <t>US-BMM</t>
  </si>
  <si>
    <t>Bangtail Mountain Meadow</t>
  </si>
  <si>
    <t>Paul Stoy (pcstoy@wisc.edu)</t>
  </si>
  <si>
    <t>2016, 2017, 2018, 2019</t>
  </si>
  <si>
    <t>https://doi.org/10.17190/AMF/1660338</t>
  </si>
  <si>
    <t>ALB, CO2, CO2_SIGMA, FC, FC_SSITC_TEST, G, H, H2O, H2O_SIGMA, LE, LE_SSITC_TEST, LW_IN, LW_OUT, NDVI, NETRAD, P, PPFD_IN, PPFD_OUT, PRI, RH, SPEC_NIR_IN, SPEC_NIR_OUT, SPEC_NIR_REFL, SPEC_PRI_REF_IN, SPEC_PRI_REF_OUT, SPEC_PRI_REF_REFL, SPEC_PRI_TGT_IN, SPEC_PRI_TGT_OUT, SPEC_PRI_TGT_REFL, SPEC_RED_IN, SPEC_RED_OUT, SPEC_RED_REFL, SWC, SW_IN, SW_OUT, TA, TAU, TAU_SSITC_TEST, TS, T_SONIC, T_SONIC_SIGMA, U_SIGMA, USTAR, VPD, V_SIGMA, WD, WS, W_SIGMA, ZL</t>
  </si>
  <si>
    <t>US-Bn1</t>
  </si>
  <si>
    <t>Bonanza Creek, 1920 Burn site near Delta Junction</t>
  </si>
  <si>
    <t>James Randerson (jranders@uci.edu)</t>
  </si>
  <si>
    <t>Dsc</t>
  </si>
  <si>
    <t>Dry Continental: cool summer</t>
  </si>
  <si>
    <t>2002, 2003, 2004</t>
  </si>
  <si>
    <t>https://doi.org/10.17190/AMF/1246033</t>
  </si>
  <si>
    <t>US-Bn2</t>
  </si>
  <si>
    <t>Bonanza Creek, 1987 Burn site near Delta Junction</t>
  </si>
  <si>
    <t>https://doi.org/10.17190/AMF/1246034</t>
  </si>
  <si>
    <t>US-Bn3</t>
  </si>
  <si>
    <t>Bonanza Creek, 1999 Burn site near Delta Junction</t>
  </si>
  <si>
    <t>https://doi.org/10.17190/AMF/1246035</t>
  </si>
  <si>
    <t>US-Bo1</t>
  </si>
  <si>
    <t>Bondville</t>
  </si>
  <si>
    <t>1996, 1997, 1998, 1999, 2000, 2001, 2002, 2003, 2004, 2005, 2006, 2007, 2008</t>
  </si>
  <si>
    <t>https://doi.org/10.17190/AMF/1246036</t>
  </si>
  <si>
    <t>US-Bo2</t>
  </si>
  <si>
    <t>Bondville (companion site)</t>
  </si>
  <si>
    <t>Carl Bernacchi (bernacch@uiuc.edu)</t>
  </si>
  <si>
    <t>https://doi.org/10.17190/AMF/1246037</t>
  </si>
  <si>
    <t>US-Br1</t>
  </si>
  <si>
    <t>Brooks Field Site 10- Ames</t>
  </si>
  <si>
    <t>John Prueger (john.prueger@ars.usda.gov)</t>
  </si>
  <si>
    <t>2005, 2006, 2007, 2008, 2009, 2010, 2011</t>
  </si>
  <si>
    <t>https://doi.org/10.17190/AMF/1246038</t>
  </si>
  <si>
    <t>US-Br2</t>
  </si>
  <si>
    <t>Brooks Field Site 1011- Ames</t>
  </si>
  <si>
    <t>US-Br3</t>
  </si>
  <si>
    <t>Brooks Field Site 11- Ames</t>
  </si>
  <si>
    <t>https://doi.org/10.17190/AMF/1246039</t>
  </si>
  <si>
    <t>Bayles Road Grassland Tower</t>
  </si>
  <si>
    <t>Kimberly Novick (knovick@indiana.edu)</t>
  </si>
  <si>
    <t>2016, 2017, 2018, 2019, 2020</t>
  </si>
  <si>
    <t>https://doi.org/10.17190/AMF/1756416</t>
  </si>
  <si>
    <t>https://doi.org/10.17190/AMF/2006970</t>
  </si>
  <si>
    <t>CO2, FC, G, H, H2O, LE, LW_IN, LW_OUT, P, PA, PPFD_IN, RH, SWC, SW_IN, SW_OUT, TA, TS, T_SONIC, U_SIGMA, USTAR, V_SIGMA, WD, WS, W_SIGMA</t>
  </si>
  <si>
    <t>US-Brw</t>
  </si>
  <si>
    <t>Barrow</t>
  </si>
  <si>
    <t>1998, 1999, 2000, 2001, 2002, 2003, 2004, 2005, 2006, 2007</t>
  </si>
  <si>
    <t>https://doi.org/10.17190/AMF/1246041</t>
  </si>
  <si>
    <t>US-Bsg</t>
  </si>
  <si>
    <t>Burns Sagebrush</t>
  </si>
  <si>
    <t>Rory O'Connor (Rory.oconnor@usda.gov)</t>
  </si>
  <si>
    <t>https://doi.org/10.17190/AMF/1846661</t>
  </si>
  <si>
    <t>ALB, FC, G, GPP, H, LE, LW_IN, LW_OUT, NEE, NETRAD, P, PA, PPFD_DIF, PPFD_IN, RH, SWC, SW_IN, SW_OUT, TA, TS, T_SONIC, T_SONIC_SIGMA, U_SIGMA, USTAR, WD, WS, W_SIGMA</t>
  </si>
  <si>
    <t>US-BSM</t>
  </si>
  <si>
    <t>Barnstable Great Marsh</t>
  </si>
  <si>
    <t>Kevin Kroeger (kkroeger@usgs.gov)</t>
  </si>
  <si>
    <t>US-BWa</t>
  </si>
  <si>
    <t>INFLUX - NIST Turfgrass Site</t>
  </si>
  <si>
    <t>Kenneth Davis (kjd10@psu.edu)</t>
  </si>
  <si>
    <t>https://doi.org/10.17190/AMF/2229153</t>
  </si>
  <si>
    <t>FC, FH2O, H, LE, PA, RH, TA, U_SIGMA, USTAR, VPD, V_SIGMA, WD, WS, W_SIGMA, WS_MAX</t>
  </si>
  <si>
    <t>US-BWb</t>
  </si>
  <si>
    <t>INFLUX - Montgomery County pasture site</t>
  </si>
  <si>
    <t>https://doi.org/10.17190/AMF/2229154</t>
  </si>
  <si>
    <t>Bonanza Creek Thermokarst Bog</t>
  </si>
  <si>
    <t>Eugenie Euskirchen (seeuskirchen@alaska.edu)</t>
  </si>
  <si>
    <t>Dfd</t>
  </si>
  <si>
    <t>Subarctic: severe, very cold winter, no dry season, cool summer</t>
  </si>
  <si>
    <t>2011, 2012, 2013, 2014, 2015, 2016, 2017, 2018, 2019, 2020, 2021, 2022, 2023, 2024</t>
  </si>
  <si>
    <t>https://doi.org/10.17190/AMF/1773401</t>
  </si>
  <si>
    <t>https://doi.org/10.17190/AMF/1881569</t>
  </si>
  <si>
    <t>CH4, CO2, D_SNOW, FC, FCH4, G, GPP, H, LE, LW_IN, LW_OUT, NETRAD, P, PA, PPFD_IN, PPFD_OUT, RECO, RH, SG, SWC, SW_IN, SW_OUT, TA, TS, USTAR, VPD, WD, WS</t>
  </si>
  <si>
    <t>Bonanza Creek Rich Fen</t>
  </si>
  <si>
    <t>https://doi.org/10.17190/AMF/1756433</t>
  </si>
  <si>
    <t>https://doi.org/10.17190/AMF/1881570</t>
  </si>
  <si>
    <t>US-BZL</t>
  </si>
  <si>
    <t>Goldstream Valley Thermokarst Lake</t>
  </si>
  <si>
    <t>Katey Walter Anthony (kmwalteranthony@alaska.edu)</t>
  </si>
  <si>
    <t>Bonanza Creek Old Thermokarst Bog</t>
  </si>
  <si>
    <t>2018, 2019, 2020, 2021, 2022, 2023, 2024</t>
  </si>
  <si>
    <t>https://doi.org/10.17190/AMF/1846662</t>
  </si>
  <si>
    <t>https://doi.org/10.17190/AMF/1881571</t>
  </si>
  <si>
    <t>CH4, CO2, FC, FCH4, G, GPP, H, LE, NETRAD, P, PA, PPFD_IN, RECO, RH, SG, SWC, SW_IN, SW_OUT, TA, TS, USTAR, VPD, WD, WS</t>
  </si>
  <si>
    <t>Bonanza Creek Black Spruce</t>
  </si>
  <si>
    <t>2010, 2011, 2012, 2013, 2014, 2015, 2016, 2017, 2018, 2019, 2020, 2021, 2022, 2023, 2024</t>
  </si>
  <si>
    <t>https://doi.org/10.17190/AMF/1756434</t>
  </si>
  <si>
    <t>2010, 2011, 2012, 2013, 2014, 2015, 2016, 2017, 2018, 2019, 2020, 2021</t>
  </si>
  <si>
    <t>https://doi.org/10.17190/AMF/1881572</t>
  </si>
  <si>
    <t>US-CAK</t>
  </si>
  <si>
    <t>Council Alaska Tundra</t>
  </si>
  <si>
    <t>US-CaV</t>
  </si>
  <si>
    <t>Canaan Valley</t>
  </si>
  <si>
    <t>https://doi.org/10.17190/AMF/1246042</t>
  </si>
  <si>
    <t>US-CC1</t>
  </si>
  <si>
    <t>Coloma Corn 1</t>
  </si>
  <si>
    <t>https://doi.org/10.17190/AMF/1865475</t>
  </si>
  <si>
    <t>ALB, CO2, FC, FC_SSITC_TEST, G, H, H2O, H_SSITC_TEST, LE, LE_SSITC_TEST, LW_IN, LW_OUT, NETRAD, RH, SWC, SW_IN, SW_OUT, TAU, TAU_SSITC_TEST, T_SONIC, T_SONIC_SIGMA, U_SIGMA, USTAR, VPD, V_SIGMA, WD, WS, W_SIGMA, ZL</t>
  </si>
  <si>
    <t>US-CC2</t>
  </si>
  <si>
    <t>Coloma Corn 2</t>
  </si>
  <si>
    <t>https://doi.org/10.17190/AMF/1865476</t>
  </si>
  <si>
    <t>ALB, CO2, CO2_SIGMA, FC, FC_SSITC_TEST, H, H2O, H2O_SIGMA, H_SSITC_TEST, LE, LE_SSITC_TEST, LW_IN, LW_OUT, NDVI, NETRAD, P, PRI, RH, SPEC_NIR_IN, SPEC_NIR_OUT, SPEC_NIR_REFL, SPEC_PRI_REF_IN, SPEC_PRI_REF_OUT, SPEC_PRI_REF_REFL, SPEC_PRI_TGT_IN, SPEC_PRI_TGT_OUT, SPEC_PRI_TGT_REFL, SPEC_RED_IN, SPEC_RED_OUT, SPEC_RED_REFL, SWC, SW_IN, SW_OUT, TAU, TAU_SSITC_TEST, TS, T_SONIC, T_SONIC_SIGMA, U_SIGMA, USTAR, VPD, V_SIGMA, WD, WS, W_SIGMA, ZL</t>
  </si>
  <si>
    <t>US-CdM</t>
  </si>
  <si>
    <t>Cedar Mesa</t>
  </si>
  <si>
    <t>Steve Kannenberg (steven.kannenberg@mail.wvu.edu)</t>
  </si>
  <si>
    <t>2019, 2020, 2021, 2022, 2023</t>
  </si>
  <si>
    <t>https://doi.org/10.17190/AMF/1865477</t>
  </si>
  <si>
    <t>https://doi.org/10.17190/AMF/2469445</t>
  </si>
  <si>
    <t>CO2, FC, GPP, H, H2O, LE, LW_IN, LW_OUT, NEE, P, PA, PPFD_IN, PPFD_OUT, RECO, RH, SWC, SW_IN, SW_OUT, TA, TS, USTAR, VPD, WD, WS, ZL</t>
  </si>
  <si>
    <t>US-Ced</t>
  </si>
  <si>
    <t>Cedar Bridge</t>
  </si>
  <si>
    <t>Ken Clark (kenneth.clark@usda.gov)</t>
  </si>
  <si>
    <t>2005, 2006, 2007, 2008, 2009, 2010, 2011, 2012, 2013, 2014</t>
  </si>
  <si>
    <t>https://doi.org/10.17190/AMF/1246043</t>
  </si>
  <si>
    <t>CAF-LTAR Cook East</t>
  </si>
  <si>
    <t>Dave Huggins (David.Huggins@usda.gov)</t>
  </si>
  <si>
    <t>Dsb</t>
  </si>
  <si>
    <t>Warm Summer Continental: warm summer</t>
  </si>
  <si>
    <t>https://doi.org/10.17190/AMF/1543382</t>
  </si>
  <si>
    <t>https://doi.org/10.17190/AMF/1832158</t>
  </si>
  <si>
    <t>CO2, FC, FC_SSITC_TEST, FETCH_90, FETCH_MAX, H, H_SSITC_TEST, LE, LE_SSITC_TEST, MO_LENGTH, NETRAD, P, PA, PPFD_IN, RH, SWC, TA, TS, T_SONIC, T_SONIC_SIGMA, U_SIGMA, USTAR, VPD, V_SIGMA, WD, WS, W_SIGMA, ZL</t>
  </si>
  <si>
    <t>CAF-LTAR Cook West</t>
  </si>
  <si>
    <t>Dave Huggins (David.Huggins@ars.usda.gov)</t>
  </si>
  <si>
    <t>https://doi.org/10.17190/AMF/1543383</t>
  </si>
  <si>
    <t>2017, 2018, 2019, 2020</t>
  </si>
  <si>
    <t>https://doi.org/10.17190/AMF/1881573</t>
  </si>
  <si>
    <t>CAF-LTAR Boyd North</t>
  </si>
  <si>
    <t>https://doi.org/10.17190/AMF/1543385</t>
  </si>
  <si>
    <t>https://doi.org/10.17190/AMF/1881574</t>
  </si>
  <si>
    <t>CAF-LTAR Boyd South</t>
  </si>
  <si>
    <t>https://doi.org/10.17190/AMF/1543384</t>
  </si>
  <si>
    <t>https://doi.org/10.17190/AMF/1881575</t>
  </si>
  <si>
    <t>US-CGG</t>
  </si>
  <si>
    <t>Concord Grazed Grassland</t>
  </si>
  <si>
    <t>Patty Oikawa (Patty.oikawa@csueastbay.edu)</t>
  </si>
  <si>
    <t>2019, 2020, 2021, 2022</t>
  </si>
  <si>
    <t>https://doi.org/10.17190/AMF/1987600</t>
  </si>
  <si>
    <t>2019, 2020, 2021</t>
  </si>
  <si>
    <t>https://doi.org/10.17190/AMF/2469446</t>
  </si>
  <si>
    <t>CO2, FC, G, H, H2O, LE, NETRAD, P, PA, PPFD_IN, PPFD_OUT, RH, SWC, TA, TS, T_SONIC, U_SIGMA, USTAR, V_SIGMA, WD, WS, W_SIGMA</t>
  </si>
  <si>
    <t>US-ChR</t>
  </si>
  <si>
    <t>Chestnut Ridge</t>
  </si>
  <si>
    <t>Tilden Meyers (tilden.meyers@noaa.gov)</t>
  </si>
  <si>
    <t>2005, 2006, 2007, 2008, 2009, 2010</t>
  </si>
  <si>
    <t>https://doi.org/10.17190/AMF/1246044</t>
  </si>
  <si>
    <t>US-CLF</t>
  </si>
  <si>
    <t>Cole Farm</t>
  </si>
  <si>
    <t>Kenneth J. Davis (kjd10@psu.edu)</t>
  </si>
  <si>
    <t>https://doi.org/10.17190/AMF/1987601</t>
  </si>
  <si>
    <t>CO2, FC, H, H2O, LE, LW_IN, P, PA, RH, SWC, SW_IN, SW_OUT, TA, TS, USTAR, WD, WS, WTD</t>
  </si>
  <si>
    <t>US-Cms</t>
  </si>
  <si>
    <t>Central Marsh</t>
  </si>
  <si>
    <t>Yoshinobu Harazono (harazono2009gl@gmail.com)</t>
  </si>
  <si>
    <t>1999, 2000</t>
  </si>
  <si>
    <t>https://doi.org/10.17190/AMF/1987602</t>
  </si>
  <si>
    <t>CH4, CO2, D_SNOW, FC, FCH4, FO3, G, H, LE, LW_IN, LW_OUT, NETRAD, O3, PA, PPFD_IN, P_RAIN, RH, SW_IN, SW_OUT, TA, T_CANOPY, TS, T_SONIC, USTAR, VPD, WD, WS, WTD</t>
  </si>
  <si>
    <t>US-CMW</t>
  </si>
  <si>
    <t>Charleston Mesquite Woodland</t>
  </si>
  <si>
    <t>Russell Scott (russ.scott@ars.usda.gov)</t>
  </si>
  <si>
    <t>2000, 2001, 2002, 2003, 2004, 2005, 2006, 2007, 2008, 2009, 2010, 2011, 2012, 2013, 2014, 2015, 2016, 2017, 2018, 2019, 2020, 2021</t>
  </si>
  <si>
    <t>https://doi.org/10.17190/AMF/1660339</t>
  </si>
  <si>
    <t>CO2, FC, G, GPP, H, H2O, LE, LW_IN, LW_OUT, NEE, NETRAD, P, PA, PPFD_IN, RECO, RH, SWC, SW_IN, SW_OUT, TA, T_CANOPY, TS, T_SONIC, USTAR, WD, WS</t>
  </si>
  <si>
    <t>US-CN1</t>
  </si>
  <si>
    <t>Coleman Cattle Farm</t>
  </si>
  <si>
    <t>Scott Flynn (scott.flynn@corteva.com)</t>
  </si>
  <si>
    <t>US-CN2</t>
  </si>
  <si>
    <t>Parrot Farm</t>
  </si>
  <si>
    <t>US-Cop</t>
  </si>
  <si>
    <t>Corral Pocket</t>
  </si>
  <si>
    <t>David Bowling (david.bowling@utah.edu)</t>
  </si>
  <si>
    <t>2001, 2002, 2003, 2004, 2005, 2006, 2007</t>
  </si>
  <si>
    <t>https://doi.org/10.17190/AMF/1246129</t>
  </si>
  <si>
    <t>https://doi.org/10.17190/AMF/2006972</t>
  </si>
  <si>
    <t>CO2, FC, G, H, LE, NEE, NETRAD, P, PA, RH, SWC, SW_IN, SW_OUT, TA, TS, USTAR, VPD, WD, WS, ZL</t>
  </si>
  <si>
    <t>US-CPk</t>
  </si>
  <si>
    <t>Chimney Park</t>
  </si>
  <si>
    <t>Mario Bretfeld (mbretfel@uwyo.edu)</t>
  </si>
  <si>
    <t>2009, 2010, 2011, 2012, 2013</t>
  </si>
  <si>
    <t>https://doi.org/10.17190/AMF/1246150</t>
  </si>
  <si>
    <t>https://doi.org/10.17190/AMF/2006973</t>
  </si>
  <si>
    <t>US-CRE</t>
  </si>
  <si>
    <t>Clark Rice East</t>
  </si>
  <si>
    <t>Michele Reba (michele.reba@usda.gov)</t>
  </si>
  <si>
    <t>US-CRK</t>
  </si>
  <si>
    <t>Davy Crockett National Forest</t>
  </si>
  <si>
    <t>Asko Noormets (noormets@tamu.edu)</t>
  </si>
  <si>
    <t>https://doi.org/10.17190/AMF/2204055</t>
  </si>
  <si>
    <t>CO2, FC, G, H, H2O, LE, LW_IN, LW_OUT, MO_LENGTH, NEE, NETRAD, P, PA, PPFD_IN, RH, SWC, SW_IN, SW_OUT, TA, TAU, TS, T_SONIC, U_SIGMA, USTAR, VPD, V_SIGMA, WD, WS, W_SIGMA, WS_MAX, ZL</t>
  </si>
  <si>
    <t>US-CRT</t>
  </si>
  <si>
    <t>Curtice Walter-Berger cropland</t>
  </si>
  <si>
    <t>Jiquan Chen (jqchen@msu.edu)</t>
  </si>
  <si>
    <t>2011, 2012, 2013</t>
  </si>
  <si>
    <t>https://doi.org/10.17190/AMF/1246156</t>
  </si>
  <si>
    <t>https://doi.org/10.17190/AMF/2006974</t>
  </si>
  <si>
    <t>CH4, CO2, FC, FCH4, G, H, H2O, LE, LW_IN, LW_OUT, MO_LENGTH, NEE, NETRAD, P, PA, PPFD_IN, RH, SWC, SW_IN, SW_OUT, SWP, TA, TS, T_SONIC, T_SONIC_SIGMA, U_SIGMA, USTAR, V_SIGMA, WD, WS, W_SIGMA, WTD, ZL</t>
  </si>
  <si>
    <t>US-CRW</t>
  </si>
  <si>
    <t>Clark Rice West</t>
  </si>
  <si>
    <t>Central Sands Irrigated Agricultural Field</t>
  </si>
  <si>
    <t>https://doi.org/10.17190/AMF/1617710</t>
  </si>
  <si>
    <t>https://doi.org/10.17190/AMF/1881576</t>
  </si>
  <si>
    <t>CO2, FC, FC_SSITC_TEST, FETCH_90, FETCH_MAX, GPP, H, H2O, H_SSITC_TEST, LE, LE_SSITC_TEST, LW_IN, LW_OUT, MO_LENGTH, NEE, NETRAD, P, PA, RECO, RH, SC, SH, SLE, SW_IN, SW_OUT, TA, USTAR, VPD, WD, WS</t>
  </si>
  <si>
    <t>Tri county school Pine Forest</t>
  </si>
  <si>
    <t>https://doi.org/10.17190/AMF/1617711</t>
  </si>
  <si>
    <t>https://doi.org/10.17190/AMF/1881577</t>
  </si>
  <si>
    <t>CO2, FC, FC_SSITC_TEST, FETCH_90, FETCH_MAX, G, GPP, H, H2O, H_SSITC_TEST, LE, LE_SSITC_TEST, LW_IN, LW_OUT, MO_LENGTH, NEE, NETRAD, PA, RECO, RH, SC, SH, SLE, SWC, SW_IN, SW_OUT, TA, TS, USTAR, VPD, WD, WS</t>
  </si>
  <si>
    <t>https://doi.org/10.17190/AMF/1617713</t>
  </si>
  <si>
    <t>https://doi.org/10.17190/AMF/1881578</t>
  </si>
  <si>
    <t>2020, 2021</t>
  </si>
  <si>
    <t>https://doi.org/10.17190/AMF/1756417</t>
  </si>
  <si>
    <t>https://doi.org/10.17190/AMF/1881579</t>
  </si>
  <si>
    <t>US-CS5</t>
  </si>
  <si>
    <t>https://doi.org/10.17190/AMF/1846663</t>
  </si>
  <si>
    <t>https://doi.org/10.17190/AMF/2469447</t>
  </si>
  <si>
    <t>CO2, FC, FC_SSITC_TEST, FETCH_90, FETCH_MAX, G, GPP, H, H2O, H_SSITC_TEST, LE, LE_SSITC_TEST, LW_IN, LW_OUT, MO_LENGTH, NEE, NETRAD, P, PA, RECO, RH, SC, SH, SLE, SWC, SW_IN, SW_OUT, TA, TS, USTAR, VPD, WD, WS</t>
  </si>
  <si>
    <t>US-CS6</t>
  </si>
  <si>
    <t>https://doi.org/10.17190/AMF/2001297</t>
  </si>
  <si>
    <t>https://doi.org/10.17190/AMF/2469448</t>
  </si>
  <si>
    <t>US-CS7</t>
  </si>
  <si>
    <t>Central Sands Forest</t>
  </si>
  <si>
    <t>US-CS8</t>
  </si>
  <si>
    <t>https://doi.org/10.17190/AMF/2001298</t>
  </si>
  <si>
    <t>https://doi.org/10.17190/AMF/2469449</t>
  </si>
  <si>
    <t>US-Cst</t>
  </si>
  <si>
    <t>Crossett Experimental Forest</t>
  </si>
  <si>
    <t>Kim Novick (knovick@indiana.edu)</t>
  </si>
  <si>
    <t>https://doi.org/10.17190/AMF/1902275</t>
  </si>
  <si>
    <t>https://doi.org/10.17190/AMF/2469450</t>
  </si>
  <si>
    <t>CO2, FC, FETCH_FILTER, G, H, H2O, LE, LW_IN, LW_OUT, NETRAD, P, PA, PPFD_IN, RH, SC, SWC, SW_IN, SW_OUT, TA, TS, T_SONIC, T_SONIC_SIGMA, U_SIGMA, USTAR, VPD, V_SIGMA, WD, WS, W_SIGMA</t>
  </si>
  <si>
    <t>US-Ctn</t>
  </si>
  <si>
    <t>Cottonwood</t>
  </si>
  <si>
    <t>2006, 2007, 2008, 2009</t>
  </si>
  <si>
    <t>https://doi.org/10.17190/AMF/1246117</t>
  </si>
  <si>
    <t>US-CU1</t>
  </si>
  <si>
    <t>UIC Plant Research Laboratory Chicago</t>
  </si>
  <si>
    <t>Sujan Pal (spal@anl.gov)</t>
  </si>
  <si>
    <t>US-CwG</t>
  </si>
  <si>
    <t>Coweeta Grassland</t>
  </si>
  <si>
    <t>US-Cwt</t>
  </si>
  <si>
    <t>Coweeta</t>
  </si>
  <si>
    <t>A. Christopher Oishi (andrew.c.oishi@usda.gov)</t>
  </si>
  <si>
    <t>https://doi.org/10.17190/AMF/1671890</t>
  </si>
  <si>
    <t>ALB, APAR, CO2, FC, G, GPP, H, H2O, LE, LW_IN, LW_OUT, MO_LENGTH, NEE, NETRAD, PA, RECO, RH, SC, SW_IN, SW_OUT, TA, TAU, T_SONIC, T_SONIC_SIGMA, USTAR, VPD, WD, WS</t>
  </si>
  <si>
    <t>US-CX1</t>
  </si>
  <si>
    <t>Central Plains Experimental Range 1, Nunn, Colorado</t>
  </si>
  <si>
    <t>David Hoover (David.Hoover@usda.gov)</t>
  </si>
  <si>
    <t>US-CX2</t>
  </si>
  <si>
    <t>Central Plains Experimental Range 2, Nunn, Colorado</t>
  </si>
  <si>
    <t>US-CZ1</t>
  </si>
  <si>
    <t>Sierra Critical Zone, Sierra Transect, Oak/Pine Woodland, San Joaquin Experimental Range</t>
  </si>
  <si>
    <t>Michael Goulden (mgoulden@uci.edu)</t>
  </si>
  <si>
    <t>SAV</t>
  </si>
  <si>
    <t>Savannas: Lands with herbaceous and other understory systems, and with forest canopy cover between 10-30%. The forest cover height exceeds 2 meters.</t>
  </si>
  <si>
    <t>US-CZ2</t>
  </si>
  <si>
    <t>Sierra Critical Zone, Sierra Transect, Ponderosa Pine Forest, Soaproot Saddle</t>
  </si>
  <si>
    <t>2010, 2011, 2012, 2013, 2014, 2015, 2016</t>
  </si>
  <si>
    <t>https://doi.org/10.17190/AMF/1419510</t>
  </si>
  <si>
    <t>FC, G, H, LE, NDVI, NETRAD, RH, SWC, SW_IN, SW_OUT, TA, TS, T_SONIC, USTAR, WD, WS</t>
  </si>
  <si>
    <t>US-CZ3</t>
  </si>
  <si>
    <t>Sierra Critical Zone, Sierra Transect, Sierran Mixed Conifer, P301</t>
  </si>
  <si>
    <t>2008, 2009, 2010, 2011, 2012, 2013, 2014, 2015, 2016</t>
  </si>
  <si>
    <t>https://doi.org/10.17190/AMF/1419512</t>
  </si>
  <si>
    <t>US-CZ4</t>
  </si>
  <si>
    <t>Sierra Critical Zone, Sierra Transect, Subalpine Forest, Shorthair</t>
  </si>
  <si>
    <t>2009, 2010, 2011, 2012, 2013, 2014, 2015, 2016</t>
  </si>
  <si>
    <t>https://doi.org/10.17190/AMF/1419511</t>
  </si>
  <si>
    <t>US-DBk</t>
  </si>
  <si>
    <t>Berkeley Way West</t>
  </si>
  <si>
    <t>Joshua Apte (apte@berkeley.edu)</t>
  </si>
  <si>
    <t>US-DCS</t>
  </si>
  <si>
    <t>Dwarf Cypress Swamp</t>
  </si>
  <si>
    <t>W. Barclay Shoemaker (bshoemak@usgs.gov)</t>
  </si>
  <si>
    <t>US-Dea</t>
  </si>
  <si>
    <t>California UC ANR Desert Research and Extension Center Alfalfa</t>
  </si>
  <si>
    <t>Laurie Koteen (lkoteen@berkeley.edu)</t>
  </si>
  <si>
    <t>US-Deu</t>
  </si>
  <si>
    <t>California UC ANR Desert Research and Extension Center Urban Farm Tower</t>
  </si>
  <si>
    <t>US Dairy Forage Research Center, Prairie du Sac</t>
  </si>
  <si>
    <t>https://doi.org/10.17190/AMF/1660340</t>
  </si>
  <si>
    <t>https://doi.org/10.17190/AMF/2006975</t>
  </si>
  <si>
    <t>CH4, CO2, FC, FCH4, FETCH_90, G, H, H2O, LE, LW_IN, LW_OUT, MO_LENGTH, NETRAD, PA, P_RAIN, RH, SC, SCH4, SH, SLE, SWC, SW_IN, SW_OUT, TA, TAU, TS, T_SONIC, U_SIGMA, USTAR, VPD, V_SIGMA, WD, WS, W_SIGMA, ZL</t>
  </si>
  <si>
    <t>US-DFK</t>
  </si>
  <si>
    <t>Dairy Forage Research Center - Kernza</t>
  </si>
  <si>
    <t>Valentin Picasso Risso (picassorisso@wisc.edu)</t>
  </si>
  <si>
    <t>2018, 2019, 2020, 2021</t>
  </si>
  <si>
    <t>https://doi.org/10.17190/AMF/1825937</t>
  </si>
  <si>
    <t>CO2, FC, FETCH_90, G, H, H2O, LE, LW_IN, LW_OUT, MO_LENGTH, NETRAD, PA, PPFD_IN, RH, SC, SH, SLE, SWC, SW_IN, SW_OUT, TA, TAU, TS, T_SONIC, U_SIGMA, USTAR, VPD, V_SIGMA, WD, WS, W_SIGMA, ZL</t>
  </si>
  <si>
    <t>US-Dia</t>
  </si>
  <si>
    <t>Diablo</t>
  </si>
  <si>
    <t>Sonia Wharton (wharton4@llnl.gov)</t>
  </si>
  <si>
    <t>2010, 2011, 2012</t>
  </si>
  <si>
    <t>https://doi.org/10.17190/AMF/1246146</t>
  </si>
  <si>
    <t>US-Dix</t>
  </si>
  <si>
    <t>Fort Dix</t>
  </si>
  <si>
    <t>2005, 2006, 2007, 2008</t>
  </si>
  <si>
    <t>https://doi.org/10.17190/AMF/1246045</t>
  </si>
  <si>
    <t>US-Dk1</t>
  </si>
  <si>
    <t>Duke Forest-open field</t>
  </si>
  <si>
    <t>Paul Stoy (paul.stoy@montana.edu)</t>
  </si>
  <si>
    <t>2001, 2002, 2003, 2004, 2005, 2006, 2007, 2008</t>
  </si>
  <si>
    <t>https://doi.org/10.17190/AMF/1246046</t>
  </si>
  <si>
    <t>CO2, FC, G, H, H2O, LE, LW_IN, LW_OUT, NETRAD, P, PA, PPFD_IN, RH, SC, SWC, SW_IN, SW_OUT, TA, TS, T_SONIC, T_SONIC_SIGMA, U_SIGMA, USTAR, VPD, V_SIGMA, WD, WS, W_SIGMA</t>
  </si>
  <si>
    <t>US-Dk2</t>
  </si>
  <si>
    <t>Duke Forest-hardwoods</t>
  </si>
  <si>
    <t>https://doi.org/10.17190/AMF/1246047</t>
  </si>
  <si>
    <t>US-Dk3</t>
  </si>
  <si>
    <t>Duke Forest - loblolly pine</t>
  </si>
  <si>
    <t>https://doi.org/10.17190/AMF/1246048</t>
  </si>
  <si>
    <t>US-Dmg</t>
  </si>
  <si>
    <t>Dutch Slough Marsh Gilbert Tract</t>
  </si>
  <si>
    <t>2021, 2022, 2023, 2024</t>
  </si>
  <si>
    <t>https://doi.org/10.17190/AMF/1964086</t>
  </si>
  <si>
    <t>https://doi.org/10.17190/AMF/2469451</t>
  </si>
  <si>
    <t>CH4, CO2, FC, FCH4, FCH4_SSITC_TEST, FC_SSITC_TEST, G, GPP, H, H2O, H_SSITC_TEST, LE, LE_SSITC_TEST, LW_IN, LW_OUT, MO_LENGTH, NDVI, NETRAD, P, PA, PPFD_DIF, PPFD_IN, PPFD_OUT, PRI, RECO, RH, SPEC_NIR_IN, SPEC_NIR_OUT, SPEC_RED_IN, SPEC_RED_OUT, SW_IN, SW_OUT, TA, TAU, TAU_SSITC_TEST, TS, T_SONIC, T_SONIC_SIGMA, USTAR, VPD, V_SIGMA, WD, WS, W_SIGMA, WTD, ZL</t>
  </si>
  <si>
    <t>US-DPP</t>
  </si>
  <si>
    <t>Disney Wilderness Preserve Pine Flatwoods</t>
  </si>
  <si>
    <t>Charles Ross Hinkle (rhinkle@ucf.edu)</t>
  </si>
  <si>
    <t>US-DPW</t>
  </si>
  <si>
    <t>Disney Wilderness Preserve Wetland</t>
  </si>
  <si>
    <t>https://doi.org/10.17190/AMF/1562387</t>
  </si>
  <si>
    <t>CH4, CO2, CO2_SIGMA, FC, FCH4, FCH4_SSITC_TEST, FC_SSITC_TEST, FETCH_70, FETCH_90, FETCH_MAX, H, H2O, H2O_SIGMA, H_SSITC_TEST, LE, LE_SSITC_TEST, MO_LENGTH, PA, RH, SC, SCH4, SH, SLE, SW_IN, TA, TAU, TAU_SSITC_TEST, T_SONIC, T_SONIC_SIGMA, U_SIGMA, USTAR, VPD, V_SIGMA, WD, WS, W_SIGMA, WS_MAX, ZL</t>
  </si>
  <si>
    <t>US-DS1</t>
  </si>
  <si>
    <t>Staten Corn 1</t>
  </si>
  <si>
    <t>Nick Christen (nchristen@hydrofocus.com)</t>
  </si>
  <si>
    <t>https://doi.org/10.17190/AMF/2407202</t>
  </si>
  <si>
    <t>CO2, CO2_MIXING_RATIO, FC, FC_SSITC_TEST, FETCH_70, FETCH_90, FH2O, G, H, H2O, H2O_MIXING_RATIO, H_SSITC_TEST, LE, LE_SSITC_TEST, LW_IN, LW_OUT, P, PA, PPFD_IN, RH, SWC, SW_IN, SW_OUT, TA, TAU, TAU_SSITC_TEST, TS, T_SONIC, USTAR, VPD, WD, WS, WS_MAX</t>
  </si>
  <si>
    <t>US-DS2</t>
  </si>
  <si>
    <t>Staten Corn 2</t>
  </si>
  <si>
    <t>Steve Deverel (sdeverel@hydrofocus.com)</t>
  </si>
  <si>
    <t>2020, 2021, 2022, 2023</t>
  </si>
  <si>
    <t>https://doi.org/10.17190/AMF/2407203</t>
  </si>
  <si>
    <t>Staten Rice 1</t>
  </si>
  <si>
    <t>https://doi.org/10.17190/AMF/1890490</t>
  </si>
  <si>
    <t>https://doi.org/10.17190/AMF/2229376</t>
  </si>
  <si>
    <t>CO2, FC, FC_SSITC_TEST, FETCH_70, FETCH_80, FETCH_90, FETCH_MAX, G, H, H2O, H_SSITC_TEST, LE, LE_SSITC_TEST, LW_IN, LW_OUT, MO_LENGTH, NETRAD, P, PA, PPFD_IN, RH, SWC, SW_IN, SW_OUT, TA, TAU, TAU_SSITC_TEST, TS, T_SONIC, T_SONIC_SIGMA, U_SIGMA, USTAR, V_SIGMA, WD, WS, W_SIGMA, WS_MAX</t>
  </si>
  <si>
    <t>US-EA4</t>
  </si>
  <si>
    <t>EAA Field Research Park Woodland</t>
  </si>
  <si>
    <t>Preston Fleck (preston.fleck@beg.utexas.edu)</t>
  </si>
  <si>
    <t>https://doi.org/10.17190/AMF/2315767</t>
  </si>
  <si>
    <t>ALB, CO2, CO2_SIGMA, FC, FC_SSITC_TEST, FETCH_90, FETCH_MAX, G, H, H2O, H2O_SIGMA, H_SSITC_TEST, LE, LE_SSITC_TEST, LW_IN, LW_OUT, MO_LENGTH, NETRAD, P, PA, PPFD_IN, RH, SG, SWC, SW_IN, SW_OUT, TA, TAU, TAU_SSITC_TEST, TS, T_SONIC, T_SONIC_SIGMA, U_SIGMA, USTAR, VPD, V_SIGMA, WD, WS, W_SIGMA, WS_MAX, ZL</t>
  </si>
  <si>
    <t>US-EA5</t>
  </si>
  <si>
    <t>Uvalde Ranch Mesquite Woodland</t>
  </si>
  <si>
    <t>Tyson McKinney (tyson.mckinney@beg.utexas.edu)</t>
  </si>
  <si>
    <t>https://doi.org/10.17190/AMF/2204056</t>
  </si>
  <si>
    <t>CO2, FC, FC_SSITC_TEST, FETCH_90, FETCH_MAX, G, H, H2O, H_SSITC_TEST, LE, LE_SSITC_TEST, MO_LENGTH, NETRAD, P, PA, RH, SWC, SW_IN, TA, TAU, TAU_SSITC_TEST, TS, T_SONIC, T_SONIC_SIGMA, U_SIGMA, USTAR, VPD, V_SIGMA, WD, WS, W_SIGMA, ZL</t>
  </si>
  <si>
    <t>US-EA6</t>
  </si>
  <si>
    <t>Camp Wood Shield Ranch Oak Savannah</t>
  </si>
  <si>
    <t>https://doi.org/10.17190/AMF/2315768</t>
  </si>
  <si>
    <t>Eden Landing Ecological Reserve</t>
  </si>
  <si>
    <t>https://doi.org/10.17190/AMF/1543381</t>
  </si>
  <si>
    <t>https://doi.org/10.17190/AMF/1832159</t>
  </si>
  <si>
    <t>FC, FCH4, G, H, LE, LW_IN, LW_OUT, MO_LENGTH, NETRAD, P, PA, PPFD_IN, RH, SW_IN, SW_OUT, TA, TS, T_SONIC, USTAR, VPD, WD, WS, WTD</t>
  </si>
  <si>
    <t>US-EKH</t>
  </si>
  <si>
    <t>Elkhorn Slough Hester Marsh</t>
  </si>
  <si>
    <t>Adina Paytan (apaytan@ucsc.edu)</t>
  </si>
  <si>
    <t>2022, 2023, 2024</t>
  </si>
  <si>
    <t>https://doi.org/10.17190/AMF/2479624</t>
  </si>
  <si>
    <t>CH4, CH4_MIXING_RATIO, CO2, CO2_MIXING_RATIO, FC, FCH4, FCH4_SSITC_TEST, FC_SSITC_TEST, FETCH_70, FETCH_80, FETCH_90, FETCH_MAX, FH2O, G, H, H2O, H2O_MIXING_RATIO, H_SSITC_TEST, LE, LE_SSITC_TEST, LW_IN, LW_OUT, MO_LENGTH, NDVI, PA, PPFD_IN, PPFD_OUT, P_RAIN, RH, SW_IN, SW_OUT, TA, TAU, TAU_SSITC_TEST, TS, T_SONIC, T_SONIC_SIGMA, TW, U_SIGMA, USTAR, V_SIGMA, WD, WD_SIGMA, WS, W_SIGMA, WS_MAX, WTD, ZL</t>
  </si>
  <si>
    <t>US-EKN</t>
  </si>
  <si>
    <t>Elkhorn Slough North Marsh</t>
  </si>
  <si>
    <t>Cfc</t>
  </si>
  <si>
    <t>Marine West Coast: mild with no dry season, cool summer</t>
  </si>
  <si>
    <t>US-EKP</t>
  </si>
  <si>
    <t>Elkhorn Slough Porter Marsh</t>
  </si>
  <si>
    <t>https://doi.org/10.17190/AMF/2479625</t>
  </si>
  <si>
    <t>CH4, CH4_MIXING_RATIO, CO2, CO2_MIXING_RATIO, FC, FCH4, FCH4_SSITC_TEST, FC_SSITC_TEST, FETCH_70, FETCH_80, FETCH_90, FETCH_MAX, FH2O, G, H, H2O, H2O_MIXING_RATIO, H_SSITC_TEST, LE, LE_SSITC_TEST, LW_IN, LW_OUT, MO_LENGTH, NDVI, PA, PPFD_IN, PPFD_OUT, P_RAIN, RH, SW_IN, SW_OUT, TA, TAU, TAU_SSITC_TEST, TS, T_SONIC, T_SONIC_SIGMA, U_SIGMA, USTAR, V_SIGMA, WD, WD_SIGMA, WS, W_SIGMA, WS_MAX, ZL</t>
  </si>
  <si>
    <t>US-EKY</t>
  </si>
  <si>
    <t>Elkhorn Slough Yampah Marsh</t>
  </si>
  <si>
    <t>US-Elm</t>
  </si>
  <si>
    <t>Everglades (long hydroperiod marsh)</t>
  </si>
  <si>
    <t>Steve Oberbauer (oberbaue@fiu.edu)</t>
  </si>
  <si>
    <t>2008, 2009, 2010, 2011, 2012, 2013, 2014, 2015, 2016, 2017, 2018, 2019, 2020, 2021, 2022, 2023</t>
  </si>
  <si>
    <t>https://doi.org/10.17190/AMF/1246118</t>
  </si>
  <si>
    <t>CH4, CO2, CO2_SIGMA, FC, FCH4, G, GPP, H, H2O, H2O_SIGMA, LE, MO_LENGTH, NEE, NETRAD, P, PA, PPFD_IN, P_RAIN, RECO, RH, SC, SCH4, SH, SLE, SWC, SW_IN, SW_OUT, TA, TAU, TS, T_SONIC, T_SONIC_SIGMA, U_SIGMA, USTAR, VPD, V_SIGMA, WD, WS, W_SIGMA, WS_MAX, WTD, ZL</t>
  </si>
  <si>
    <t>Eight Mile Lake Permafrost thaw gradient, Healy Alaska.</t>
  </si>
  <si>
    <t>Ted Schuur (ted.Schuur@nau.edu)</t>
  </si>
  <si>
    <t>2008, 2009, 2010, 2011, 2012, 2013, 2014, 2015, 2016, 2017, 2018, 2019, 2020</t>
  </si>
  <si>
    <t>https://doi.org/10.17190/AMF/1418678</t>
  </si>
  <si>
    <t>https://doi.org/10.17190/AMF/2007170</t>
  </si>
  <si>
    <t>ALB, CH4, CO2, D_SNOW, FC, FCH4, FCH4_SSITC_TEST, FC_SSITC_TEST, FETCH_70, FETCH_90, FETCH_MAX, GPP, H, H2O, H_SSITC_TEST, LE, LE_SSITC_TEST, LW_IN, LW_OUT, MO_LENGTH, NEE, NETRAD, PA, PPFD_IN, RECO, RH, SC, SWC, SW_IN, SW_OUT, TA, TAU, TAU_SSITC_TEST, TS, T_SONIC, U_SIGMA, USTAR, VPD, V_SIGMA, WD, WS, W_SIGMA, ZL</t>
  </si>
  <si>
    <t>US-EPM</t>
  </si>
  <si>
    <t>Edwards Plateau Martin</t>
  </si>
  <si>
    <t>Jason West (jbwest@tamu.edu)</t>
  </si>
  <si>
    <t>US-Esm</t>
  </si>
  <si>
    <t>Everglades (short hydroperiod marsh)</t>
  </si>
  <si>
    <t>https://doi.org/10.17190/AMF/1246119</t>
  </si>
  <si>
    <t>US-EvM</t>
  </si>
  <si>
    <t>Everglades Saltwater intrusion marsh</t>
  </si>
  <si>
    <t>Steven F. Oberbuer (oberbaue@fiu.edu)</t>
  </si>
  <si>
    <t>https://doi.org/10.17190/AMF/2229155</t>
  </si>
  <si>
    <t>CH4, CO2, CO2_SIGMA, FC, FCH4, G, GPP, H, H2O, H2O_SIGMA, LE, LW_IN, LW_OUT, MO_LENGTH, NEE, NETRAD, P, PA, PPFD_IN, P_RAIN, RECO, RH, SC, SCH4, SW_IN, SW_OUT, TA, TAU, TS, T_SONIC, T_SONIC_SIGMA, U_SIGMA, USTAR, VPD, V_SIGMA, WD, WS, W_SIGMA, WS_MAX, WTD, ZL</t>
  </si>
  <si>
    <t>US-FBE</t>
  </si>
  <si>
    <t>Bob Allen Key LTER East</t>
  </si>
  <si>
    <t>James Fourqurean (james.fourqu@fiu.edu)</t>
  </si>
  <si>
    <t>US-Fcr</t>
  </si>
  <si>
    <t>Cascaden Ridge Fire Scar</t>
  </si>
  <si>
    <t>Dwc</t>
  </si>
  <si>
    <t xml:space="preserve">Subarctic: severe, dry winter, cool summer </t>
  </si>
  <si>
    <t>2011, 2012, 2013, 2014</t>
  </si>
  <si>
    <t>https://doi.org/10.17190/AMF/1562388</t>
  </si>
  <si>
    <t>https://doi.org/10.17190/AMF/2007172</t>
  </si>
  <si>
    <t>CO2, FC, FETCH_70, FETCH_80, G, GPP, H, LE, NEE, NETRAD, PA, PPFD_IN, PPFD_OUT, P_RAIN, RECO, RH, SC, SWC, SW_IN, SW_OUT, TA, T_CANOPY, TS, T_SONIC_SIGMA, U_SIGMA, USTAR, V_SIGMA, WD, WS, W_SIGMA</t>
  </si>
  <si>
    <t>US-Fmf</t>
  </si>
  <si>
    <t>Flagstaff - Managed Forest</t>
  </si>
  <si>
    <t>Thomas Kolb (tom.kolb@nau.edu)</t>
  </si>
  <si>
    <t>https://doi.org/10.17190/AMF/1246050</t>
  </si>
  <si>
    <t>https://doi.org/10.17190/AMF/2007173</t>
  </si>
  <si>
    <t>CO2, FC, G, H, H2O, LE, LW_IN, LW_OUT, NEE, NETRAD, P, PA, PPFD_DIF, PPFD_IN, PPFD_OUT, RH, SC, SH, SLE, SWC, SW_IN, SW_OUT, TA, TS, USTAR, VPD, WD, WS</t>
  </si>
  <si>
    <t>US-Fo1</t>
  </si>
  <si>
    <t>Flux Observations of Carbon from an Airborne Laboratory (FOCAL) Campaign Site 1</t>
  </si>
  <si>
    <t>Praveena Krishnan (praveena.krishnan@noaa.gov)</t>
  </si>
  <si>
    <t>US-Fo2</t>
  </si>
  <si>
    <t>Flux Observations of Carbon from an Airborne Laboratory (FOCAL) Campaign Site 2</t>
  </si>
  <si>
    <t>US-FPe</t>
  </si>
  <si>
    <t>Fort Peck</t>
  </si>
  <si>
    <t>2000, 2001, 2002, 2003, 2004, 2005, 2006, 2007, 2008</t>
  </si>
  <si>
    <t>https://doi.org/10.17190/AMF/1246053</t>
  </si>
  <si>
    <t>US-FR1</t>
  </si>
  <si>
    <t>Freeman Ranch- Grassland</t>
  </si>
  <si>
    <t>Jim Heilman (j-heilman@tamu.edu)</t>
  </si>
  <si>
    <t>US-FR2</t>
  </si>
  <si>
    <t>Freeman Ranch- Mesquite Juniper</t>
  </si>
  <si>
    <t>Marcy Litvak (mlitvak@unm.edu)</t>
  </si>
  <si>
    <t>https://doi.org/10.17190/AMF/1246054</t>
  </si>
  <si>
    <t>US-FR3</t>
  </si>
  <si>
    <t>Freeman Ranch- Woodland</t>
  </si>
  <si>
    <t>2004, 2005, 2006, 2007, 2008, 2009, 2010, 2011, 2012</t>
  </si>
  <si>
    <t>https://doi.org/10.17190/AMF/1246055</t>
  </si>
  <si>
    <t>US-Fuf</t>
  </si>
  <si>
    <t>Flagstaff - Unmanaged Forest</t>
  </si>
  <si>
    <t>https://doi.org/10.17190/AMF/1246051</t>
  </si>
  <si>
    <t>https://doi.org/10.17190/AMF/2007174</t>
  </si>
  <si>
    <t>US-Fwf</t>
  </si>
  <si>
    <t>Flagstaff - Wildfire</t>
  </si>
  <si>
    <t>https://doi.org/10.17190/AMF/1246052</t>
  </si>
  <si>
    <t>https://doi.org/10.17190/AMF/2469452</t>
  </si>
  <si>
    <t>US-GBT</t>
  </si>
  <si>
    <t>GLEES Brooklyn Tower</t>
  </si>
  <si>
    <t>Bill Massman (wmassman@fs.fed.us)</t>
  </si>
  <si>
    <t>https://doi.org/10.17190/AMF/1375200</t>
  </si>
  <si>
    <t>US-GCE</t>
  </si>
  <si>
    <t>Georgia Coastal Ecosystems LTER Flux Tower</t>
  </si>
  <si>
    <t>Deepak Mishra (dmishra@uga.edu)</t>
  </si>
  <si>
    <t>US-GL1</t>
  </si>
  <si>
    <t>Stannard Rock</t>
  </si>
  <si>
    <t>Chris Spence (chris.spence@ec.gc.ca)</t>
  </si>
  <si>
    <t>2008, 2009, 2010, 2011, 2012, 2013, 2014, 2015, 2016, 2017, 2018, 2019, 2020, 2021, 2022</t>
  </si>
  <si>
    <t>https://doi.org/10.17190/AMF/2204057</t>
  </si>
  <si>
    <t>CO2, FC, H, LE, LW_IN, PA, RH, SW_IN, TA, TAU, T_SONIC, T_SONIC_SIGMA, TW, USTAR, VPD, WD, WS</t>
  </si>
  <si>
    <t>US-GL2</t>
  </si>
  <si>
    <t>Granite Island</t>
  </si>
  <si>
    <t>John Lenters (jlenters@umich.edu)</t>
  </si>
  <si>
    <t>GLEES</t>
  </si>
  <si>
    <t>Rob Hubbard (robert.hubbard@usda.gov)</t>
  </si>
  <si>
    <t>1999, 2000, 2001, 2002, 2003, 2004, 2005, 2006, 2007, 2008, 2009, 2010, 2011, 2012, 2013, 2014, 2015, 2016, 2017, 2018, 2019, 2020</t>
  </si>
  <si>
    <t>https://doi.org/10.17190/AMF/1246056</t>
  </si>
  <si>
    <t>2005, 2006, 2007, 2008, 2009, 2010, 2011, 2012, 2013, 2014, 2015, 2016, 2017, 2018, 2019, 2020</t>
  </si>
  <si>
    <t>https://doi.org/10.17190/AMF/1871136</t>
  </si>
  <si>
    <t>CO2, D_SNOW, FC, G, H, H2O, LE, LW_BC_IN, LW_BC_OUT, LW_IN, LW_OUT, NEE, NETRAD, P, PA, PPFD_IN, PPFD_OUT, RH, SC, SW_BC_IN, SW_BC_OUT, SWC, SW_IN, SW_OUT, TA, TAU, T_CANOPY, TS, TSN, USTAR, VPD, WD, WS, ZL</t>
  </si>
  <si>
    <t>US-GMF</t>
  </si>
  <si>
    <t>Great Mountain Forest</t>
  </si>
  <si>
    <t>Xuhui Lee (xuhui.lee@yale.edu)</t>
  </si>
  <si>
    <t>1999, 2000, 2001, 2002, 2003, 2004</t>
  </si>
  <si>
    <t>https://doi.org/10.17190/AMF/1246057</t>
  </si>
  <si>
    <t>US-Goo</t>
  </si>
  <si>
    <t>Goodwin Creek</t>
  </si>
  <si>
    <t>2002, 2003, 2004, 2005, 2006</t>
  </si>
  <si>
    <t>https://doi.org/10.17190/AMF/1246058</t>
  </si>
  <si>
    <t>FC, G, H, LE, LW_IN, LW_OUT, NETRAD, P, PA, PPFD_IN, PPFD_OUT, RH, SW_IN, SW_OUT, TA, USTAR, VPD, WD, WS</t>
  </si>
  <si>
    <t>US-GR8</t>
  </si>
  <si>
    <t>Greenfield Rice Northeast 18</t>
  </si>
  <si>
    <t>US-GR9</t>
  </si>
  <si>
    <t>Greenfield Rice Northwest 19</t>
  </si>
  <si>
    <t>US-GZ1</t>
  </si>
  <si>
    <t>Genesee, ID On-farm site Zone 1</t>
  </si>
  <si>
    <t>Shelley Pressley (spressley@wsu.edu)</t>
  </si>
  <si>
    <t>US-GZ2</t>
  </si>
  <si>
    <t>Genesee, ID On-farm site Zone 2</t>
  </si>
  <si>
    <t>US-GZ3</t>
  </si>
  <si>
    <t>Genesee, ID On-farm site Zone 3</t>
  </si>
  <si>
    <t>Harvard Forest EMS Tower (HFR1)</t>
  </si>
  <si>
    <t>J. William  Munger (jwmunger@seas.harvard.edu)</t>
  </si>
  <si>
    <t>1991, 1992, 1993, 1994, 1995, 1996, 1997, 1998, 1999, 2000, 2001, 2002, 2003, 2004, 2005, 2006, 2007, 2008, 2009, 2010, 2011, 2012, 2013, 2014, 2015, 2016, 2017, 2018, 2019, 2020, 2021, 2022, 2023, 2024</t>
  </si>
  <si>
    <t>https://doi.org/10.17190/AMF/1246059</t>
  </si>
  <si>
    <t>1991, 1992, 1993, 1994, 1995, 1996, 1997, 1998, 1999, 2000, 2001, 2002, 2003, 2004, 2005, 2006, 2007, 2008, 2009, 2010, 2011, 2012, 2013, 2014, 2015, 2016, 2017, 2018, 2019, 2020</t>
  </si>
  <si>
    <t>https://doi.org/10.17190/AMF/1871137</t>
  </si>
  <si>
    <t>CO2, FC, FH2O, H, H2O, LE, NETRAD, P, PA, PPFD_DIF, PPFD_DIR, PPFD_IN, PPFD_OUT, RH, SC, SWC, TA, TAU, TS, T_SONIC, T_SONIC_SIGMA, U_SIGMA, USTAR, V_SIGMA, WD, WS, W_SIGMA</t>
  </si>
  <si>
    <t>US-Ha2</t>
  </si>
  <si>
    <t>Harvard Forest Hemlock Site</t>
  </si>
  <si>
    <t>J. William Munger (jwmunger@seas.harvard.edu)</t>
  </si>
  <si>
    <t>https://doi.org/10.17190/AMF/1246060</t>
  </si>
  <si>
    <t>ALB, CO2, FC, FETCH_FILTER, FH2O, H, H2O, LE, LW_IN, LW_OUT, NETRAD, PA, PPFD_IN, PPFD_OUT, RH, SC, SWC, SW_IN, SW_OUT, TA, TS, T_SONIC, USTAR, VPD, WD, WS</t>
  </si>
  <si>
    <t>North Inlet Crab Haul Creek</t>
  </si>
  <si>
    <t>Tom O'Halloran (tohallo@clemson.edu)</t>
  </si>
  <si>
    <t>https://doi.org/10.17190/AMF/1660341</t>
  </si>
  <si>
    <t>https://doi.org/10.17190/AMF/1832160</t>
  </si>
  <si>
    <t>ALB, CH4, CO2, CO2_SIGMA, FC, FCH4, FC_SSITC_TEST, FETCH_70, FETCH_80, FETCH_90, FETCH_MAX, H, H2O, H2O_SIGMA, H_SSITC_TEST, LE, LE_SSITC_TEST, LW_IN, LW_OUT, MO_LENGTH, PA, P_RAIN, RH, SC, SH, SLE, SW_DIF, SW_DIR, SW_IN, SW_OUT, TA, TAU, TAU_SSITC_TEST, TS, T_SONIC, T_SONIC_SIGMA, U_SIGMA, USTAR, VPD, V_SIGMA, WD, WS, W_SIGMA, WS_MAX, ZL</t>
  </si>
  <si>
    <t>Hobcaw Barony Mature Longleaf Pine</t>
  </si>
  <si>
    <t>https://doi.org/10.17190/AMF/1660342</t>
  </si>
  <si>
    <t>https://doi.org/10.17190/AMF/2229377</t>
  </si>
  <si>
    <t>ALB, CO2, CO2_SIGMA, FC, FC_SSITC_TEST, FETCH_70, FETCH_80, FETCH_90, FETCH_MAX, G, H, H2O, H2O_SIGMA, H_SSITC_TEST, LE, LEAF_WET, LE_SSITC_TEST, LW_IN, LW_OUT, MO_LENGTH, NDVI, NETRAD, PA, PPFD_IN, PPFD_OUT, P_RAIN, PRI, RH, SC, SH, SLE, SWC, SW_DIF, SW_DIR, SW_IN, SW_OUT, TA, TAU, TAU_SSITC_TEST, TS, T_SONIC, T_SONIC_SIGMA, U_SIGMA, USTAR, VPD, V_SIGMA, WD, WS, W_SIGMA, WS_MAX, ZL</t>
  </si>
  <si>
    <t>Hobcaw Barony Longleaf Pine Restoration</t>
  </si>
  <si>
    <t>https://doi.org/10.17190/AMF/1660343</t>
  </si>
  <si>
    <t>https://doi.org/10.17190/AMF/2229378</t>
  </si>
  <si>
    <t>ALB, CO2, CO2_SIGMA, FC, FC_SSITC_TEST, FETCH_70, FETCH_80, FETCH_90, FETCH_MAX, G, H, H2O, H2O_SIGMA, H_SSITC_TEST, LE, LEAF_WET, LE_SSITC_TEST, LW_IN, LW_OUT, MO_LENGTH, NDVI, NETRAD, PA, PPFD_IN, PPFD_OUT, P_RAIN, PRI, RH, SC, SH, SLE, SWC, SW_IN, SW_OUT, SWP, TA, TAU, TAU_SSITC_TEST, TS, T_SONIC, T_SONIC_SIGMA, TW, U_SIGMA, USTAR, VPD, V_SIGMA, WD, WS, W_SIGMA, WS_MAX, WTD, ZL</t>
  </si>
  <si>
    <t>US-HB4</t>
  </si>
  <si>
    <t>Minim Creek Brackish Impoundment</t>
  </si>
  <si>
    <t>https://doi.org/10.17190/AMF/2001299</t>
  </si>
  <si>
    <t>ALB, CH4, CO2, CO2_SIGMA, FC, FCH4, FCH4_SSITC_TEST, FC_SSITC_TEST, FETCH_70, FETCH_80, FETCH_90, FETCH_MAX, H, H2O, H2O_SIGMA, H_SSITC_TEST, LE, LE_SSITC_TEST, LW_IN, LW_OUT, MO_LENGTH, NDVI, NETRAD, PA, P_RAIN, RH, SC, SCH4, SH, SLE, SW_IN, SW_OUT, TA, TAU, TAU_SSITC_TEST, TS, T_SONIC, T_SONIC_SIGMA, TW, U_SIGMA, USTAR, VPD, V_SIGMA, WD, WS, W_SIGMA, WS_MAX, WTD, ZL</t>
  </si>
  <si>
    <t>US-HBK</t>
  </si>
  <si>
    <t>Hubbard Brook Experimental Forest</t>
  </si>
  <si>
    <t>Mark Green (greenmarkb@gmail.com)</t>
  </si>
  <si>
    <t>2016, 2017, 2018, 2019, 2020, 2021, 2022</t>
  </si>
  <si>
    <t>https://doi.org/10.17190/AMF/1634881</t>
  </si>
  <si>
    <t>APAR, CO2, FC, G, H, H2O, LE, LW_IN, LW_OUT, NETRAD, RH, SWC, SW_IN, SW_OUT, SWP, TA, USTAR, VPD, WD, WS, ZL</t>
  </si>
  <si>
    <t>US-Hn1</t>
  </si>
  <si>
    <t>Hanford 300 Area</t>
  </si>
  <si>
    <t>Xingyuan Chen (Xingyuan.Chen@pnnl.gov)</t>
  </si>
  <si>
    <t>Hanford 100H grassland</t>
  </si>
  <si>
    <t>https://doi.org/10.17190/AMF/1562389</t>
  </si>
  <si>
    <t>https://doi.org/10.17190/AMF/1902832</t>
  </si>
  <si>
    <t>CO2, CO2_SIGMA, FC, G, H, H2O, H2O_SIGMA, LE, MO_LENGTH, NETRAD, P, PA, PPFD_IN, RH, SC, SH, SLE, SWC, SW_IN, TA, TAU, TS, T_SONIC, T_SONIC_SIGMA, U_SIGMA, USTAR, V_SIGMA, WD, WS, W_SIGMA</t>
  </si>
  <si>
    <t>Hanford 100H sagebrush</t>
  </si>
  <si>
    <t>https://doi.org/10.17190/AMF/1543379</t>
  </si>
  <si>
    <t>https://doi.org/10.17190/AMF/1881580</t>
  </si>
  <si>
    <t>ALB, APAR, CO2, CO2_SIGMA, FC, G, H, H2O, H2O_SIGMA, LE, LW_IN, LW_OUT, MO_LENGTH, NETRAD, P, PA, RH, SC, SH, SLE, SWC, SW_IN, SW_OUT, TA, TAU, TS, T_SONIC, T_SONIC_SIGMA, U_SIGMA, USTAR, V_SIGMA, WD, WS, W_SIGMA</t>
  </si>
  <si>
    <t>US-Ho1</t>
  </si>
  <si>
    <t>Howland Forest (main tower)</t>
  </si>
  <si>
    <t>Andrew Ouimette (Andrew.Ouimette@usda.gov)</t>
  </si>
  <si>
    <t>1996, 1997, 1998, 1999, 2000, 2001, 2002, 2003, 2004, 2005, 2006, 2007, 2008, 2009, 2010, 2011, 2012, 2013, 2014, 2015, 2016, 2017, 2018, 2019, 2020, 2021, 2022, 2023, 2024</t>
  </si>
  <si>
    <t>https://doi.org/10.17190/AMF/1246061</t>
  </si>
  <si>
    <t>1996, 1997, 1998, 1999, 2000, 2001, 2002, 2003, 2004, 2005, 2006, 2007, 2008, 2009, 2010, 2011, 2012, 2013, 2014, 2015, 2016, 2017, 2018, 2019, 2020, 2021, 2022, 2023</t>
  </si>
  <si>
    <t>https://doi.org/10.17190/AMF/2469453</t>
  </si>
  <si>
    <t>CH4, CO2, FC, FCH4, FCH4_SSITC_TEST, FC_SSITC_TEST, FETCH_70, FETCH_90, FETCH_MAX, G, H, H2O, H_SSITC_TEST, LE, LE_SSITC_TEST, LW_IN, LW_OUT, NEE, NETRAD, P, PA, PPFD_DIF, PPFD_DIR, PPFD_IN, P_RAIN, RH, SWC, SW_IN, SW_OUT, TA, TAU, TS, T_SONIC, USTAR, VPD, WD, WS, WTD, ZL</t>
  </si>
  <si>
    <t>Howland Forest (west tower)</t>
  </si>
  <si>
    <t>1999, 2000, 2001, 2002, 2003, 2004, 2005, 2006, 2007, 2008, 2009, 2010, 2011, 2012, 2013, 2014, 2015, 2016, 2017, 2018, 2019, 2020, 2021, 2022, 2023, 2024</t>
  </si>
  <si>
    <t>https://doi.org/10.17190/AMF/1246062</t>
  </si>
  <si>
    <t>1999, 2000, 2001, 2002, 2003, 2004, 2005, 2006, 2007, 2008, 2009, 2010, 2011, 2012, 2013, 2014, 2015, 2016, 2017, 2018, 2019, 2020, 2021, 2022, 2023</t>
  </si>
  <si>
    <t>https://doi.org/10.17190/AMF/1881581</t>
  </si>
  <si>
    <t>CO2, FC, FC_SSITC_TEST, FETCH_70, FETCH_90, FETCH_MAX, H, H2O, H_SSITC_TEST, LE, LE_SSITC_TEST, LW_IN, LW_OUT, NEE, NETRAD, P, PA, PPFD_DIF, PPFD_DIR, PPFD_IN, P_RAIN, RH, SWC, SW_IN, SW_OUT, TA, TAU, TS, T_SONIC, USTAR, VPD, WD, WS, ZL</t>
  </si>
  <si>
    <t>US-Ho3</t>
  </si>
  <si>
    <t>Howland Forest (harvest site)</t>
  </si>
  <si>
    <t>https://doi.org/10.17190/AMF/1246063</t>
  </si>
  <si>
    <t>US-HPY</t>
  </si>
  <si>
    <t>Hawk Property</t>
  </si>
  <si>
    <t>Karina Schafer (karinavr@rutgers.edu)</t>
  </si>
  <si>
    <t>US-HRA</t>
  </si>
  <si>
    <t>Humnoke Farm Rice Field – Field A</t>
  </si>
  <si>
    <t>Benjamin R. K. Runkle (brrunkle@uark.edu)</t>
  </si>
  <si>
    <t>https://doi.org/10.17190/AMF/1543376</t>
  </si>
  <si>
    <t>CH4, CO2, FC, FCH4, FCH4_SSITC_TEST, FC_SSITC_TEST, G, H, H2O, H_SSITC_TEST, LE, LE_SSITC_TEST, LW_IN, LW_OUT, NETRAD, PA, PPFD_IN, PPFD_OUT, P_RAIN, RH, SWC, SW_IN, SW_OUT, TA, TS, T_SONIC, USTAR, WD, WS, WS_MAX, WTD</t>
  </si>
  <si>
    <t>US-HRC</t>
  </si>
  <si>
    <t>Humnoke Farm Rice Field – Field C</t>
  </si>
  <si>
    <t>https://doi.org/10.17190/AMF/1543375</t>
  </si>
  <si>
    <t>US-HRN</t>
  </si>
  <si>
    <t>Humnoke Carr North Rice Field</t>
  </si>
  <si>
    <t>US-HRP</t>
  </si>
  <si>
    <t>Herring River Phragmites</t>
  </si>
  <si>
    <t>Meagan Eagle (meagle@usgs.gov)</t>
  </si>
  <si>
    <t>US-HRS</t>
  </si>
  <si>
    <t>Humnoke Carr South Rice Field</t>
  </si>
  <si>
    <t>US-Hsm</t>
  </si>
  <si>
    <t>Hill Slough Marsh</t>
  </si>
  <si>
    <t>https://doi.org/10.17190/AMF/1890483</t>
  </si>
  <si>
    <t>CH4, CO2, DO, FC, FCH4, FCH4_SSITC_TEST, FC_SSITC_TEST, G, H, H2O, H_SSITC_TEST, LE, LE_SSITC_TEST, LW_IN, LW_OUT, MO_LENGTH, NDVI, NETRAD, P, PA, PPFD_DIF, PPFD_IN, PPFD_OUT, RH, SWC, SW_IN, SW_OUT, TA, TAU, TAU_SSITC_TEST, TS, T_SONIC, T_SONIC_SIGMA, USTAR, VPD, V_SIGMA, WD, WS, W_SIGMA, WTD, ZL</t>
  </si>
  <si>
    <t>US-HVa</t>
  </si>
  <si>
    <t>Happy Valley</t>
  </si>
  <si>
    <t>1994, 1995</t>
  </si>
  <si>
    <t>https://doi.org/10.17190/AMF/1246064</t>
  </si>
  <si>
    <t>US-HVs</t>
  </si>
  <si>
    <t>Happy Valley Wet Sedge Tundra</t>
  </si>
  <si>
    <t>https://doi.org/10.17190/AMF/1964087</t>
  </si>
  <si>
    <t>CO2, FC, G, GPP, H, LE, NEE, NETRAD, O3, PA, RECO, RH, SG, SW_IN, SW_OUT, TA, T_CANOPY, TS, USTAR, WD, WS</t>
  </si>
  <si>
    <t>USDA ARS Pasture Sytems and Watershed Management Research Unit- Hawbecker Site</t>
  </si>
  <si>
    <t>Sarah Goslee (sarah.goslee@usda.gov)</t>
  </si>
  <si>
    <t>https://doi.org/10.17190/AMF/1811363</t>
  </si>
  <si>
    <t>https://doi.org/10.17190/AMF/1881582</t>
  </si>
  <si>
    <t>CO2, CO2_MIXING_RATIO, FC, FC_SSITC_TEST, FETCH_70, FETCH_80, FETCH_90, FETCH_MAX, FH2O, G, H, H2O, H2O_MIXING_RATIO, H_SSITC_TEST, LE, LE_SSITC_TEST, LW_IN, LW_OUT, MO_LENGTH, NETRAD, PA, PPFD_IN, P_RAIN, RH, SC, SH, SLE, SWC, SW_IN, SW_OUT, TA, TAU, TAU_SSITC_TEST, T_CANOPY, TS, T_SONIC, T_SONIC_SIGMA, U_SIGMA, USTAR, V_SIGMA, WD, WD_SIGMA, WS, W_SIGMA, WS_MAX, ZL</t>
  </si>
  <si>
    <t>US-IB1</t>
  </si>
  <si>
    <t>Fermi National Accelerator Laboratory- Batavia (Agricultural site)</t>
  </si>
  <si>
    <t>2005, 2006, 2007, 2008, 2009, 2010, 2011, 2012, 2013, 2014, 2015, 2016, 2017, 2018</t>
  </si>
  <si>
    <t>https://doi.org/10.17190/AMF/1246065</t>
  </si>
  <si>
    <t>ALB, APAR, FAPAR, FC, G, H, LE, NETRAD, P, PA, PPFD_IN, PPFD_OUT, RH, SWC, SW_IN, SW_OUT, TA, TAU, TS, USTAR, WD, WS, ZL</t>
  </si>
  <si>
    <t>US-IB2</t>
  </si>
  <si>
    <t>Fermi National Accelerator Laboratory- Batavia (Prairie site)</t>
  </si>
  <si>
    <t>2004, 2005, 2006, 2007, 2008, 2009, 2010, 2011, 2012, 2013, 2014, 2015, 2016, 2017, 2018</t>
  </si>
  <si>
    <t>https://doi.org/10.17190/AMF/1246066</t>
  </si>
  <si>
    <t>Imnavait Creek Watershed Heath Tundra</t>
  </si>
  <si>
    <t>Syndonia Bret-Harte (msbretharte@alaska.edu)</t>
  </si>
  <si>
    <t>2007, 2008, 2009, 2010, 2011, 2012, 2013, 2014, 2015, 2016, 2017, 2018, 2019, 2020, 2021, 2022, 2023, 2024</t>
  </si>
  <si>
    <t>https://doi.org/10.17190/AMF/1246133</t>
  </si>
  <si>
    <t>2007, 2008, 2009, 2010, 2011, 2012, 2013, 2014, 2015, 2016, 2017, 2018, 2019, 2020, 2021, 2022, 2023</t>
  </si>
  <si>
    <t>https://doi.org/10.17190/AMF/2007175</t>
  </si>
  <si>
    <t>CH4, CO2, D_SNOW, FC, FCH4, G, GPP, H, H2O, LE, NETRAD, P, PA, PPFD_IN, PPFD_OUT, RECO, RH, SG, SWC, SW_IN, SW_OUT, TA, TS, USTAR, VPD, WD, WS</t>
  </si>
  <si>
    <t>Imnavait Creek Watershed Wet Sedge Tundra</t>
  </si>
  <si>
    <t>https://doi.org/10.17190/AMF/1246130</t>
  </si>
  <si>
    <t>https://doi.org/10.17190/AMF/1871138</t>
  </si>
  <si>
    <t>CH4, CO2, D_SNOW, FC, FCH4, G, GPP, H, LE, NETRAD, P, PA, PPFD_IN, PPFD_OUT, RECO, RH, SG, SWC, SW_IN, SW_OUT, TA, TS, USTAR, VPD, WD, WS</t>
  </si>
  <si>
    <t>Imnavait Creek Watershed Tussock Tundra</t>
  </si>
  <si>
    <t>https://doi.org/10.17190/AMF/1246131</t>
  </si>
  <si>
    <t>https://doi.org/10.17190/AMF/1881583</t>
  </si>
  <si>
    <t>CH4, CO2, FC, FCH4, G, GPP, H, LE, NETRAD, P, PA, PPFD_IN, PPFD_OUT, RECO, RH, SG, SWC, SW_IN, SW_OUT, TA, TS, USTAR, VPD, WD, WS</t>
  </si>
  <si>
    <t>US-IL1</t>
  </si>
  <si>
    <t>Paspalum notatum long rotational grazing</t>
  </si>
  <si>
    <t>Carl Bernacchi (bernacch@illinois.edu)</t>
  </si>
  <si>
    <t>US-INa</t>
  </si>
  <si>
    <t>INFLUX - Cemetery Turfgrass Tower</t>
  </si>
  <si>
    <t>2017, 2018, 2019</t>
  </si>
  <si>
    <t>https://doi.org/10.17190/AMF/2001300</t>
  </si>
  <si>
    <t>US-INb</t>
  </si>
  <si>
    <t>INFLUX - Golf Course</t>
  </si>
  <si>
    <t>https://doi.org/10.17190/AMF/2001301</t>
  </si>
  <si>
    <t>US-INc</t>
  </si>
  <si>
    <t>INFLUX - Downtown Indianapolis (Site-3)</t>
  </si>
  <si>
    <t>https://doi.org/10.17190/AMF/1987603</t>
  </si>
  <si>
    <t>FC, FH2O, H, LE, MO_LENGTH, PA, RH, TA, TAU, U_SIGMA, USTAR, VPD, V_SIGMA, WD, WS, W_SIGMA, WS_MAX</t>
  </si>
  <si>
    <t>US-INd</t>
  </si>
  <si>
    <t>INFLUX - Agricultural Site East near Pittsboro</t>
  </si>
  <si>
    <t>https://doi.org/10.17190/AMF/2001302</t>
  </si>
  <si>
    <t>US-INe</t>
  </si>
  <si>
    <t>INFLUX - Agricultural Site West near Pittsboro</t>
  </si>
  <si>
    <t>https://doi.org/10.17190/AMF/2001303</t>
  </si>
  <si>
    <t>US-INf</t>
  </si>
  <si>
    <t>INFLUX - East 21st St (Site 2)</t>
  </si>
  <si>
    <t>https://doi.org/10.17190/AMF/2001304</t>
  </si>
  <si>
    <t>CO2, FC, FH2O, H, LE, T_SONIC, USTAR, V_SIGMA, WD, WS</t>
  </si>
  <si>
    <t>US-INg</t>
  </si>
  <si>
    <t>INFLUX - Wayne Twp Comm (Site-7)</t>
  </si>
  <si>
    <t>https://doi.org/10.17190/AMF/2001305</t>
  </si>
  <si>
    <t>US-INi</t>
  </si>
  <si>
    <t>INFLUX - Agricultural Site East of Indianapolis (Site-9a)</t>
  </si>
  <si>
    <t>https://doi.org/10.17190/AMF/2001306</t>
  </si>
  <si>
    <t>US-INj</t>
  </si>
  <si>
    <t>INFLUX - Agricultural Site East of Indianapolis (Site-9b)</t>
  </si>
  <si>
    <t>https://doi.org/10.17190/AMF/2001307</t>
  </si>
  <si>
    <t>US-INn</t>
  </si>
  <si>
    <t>INFLUX - Agricultural Site West of Indianapolis (Site-14a)</t>
  </si>
  <si>
    <t>https://doi.org/10.17190/AMF/2001308</t>
  </si>
  <si>
    <t>US-INp</t>
  </si>
  <si>
    <t xml:space="preserve">INFLUX - Agricultural Site West of Indianapolis (Site-14b) </t>
  </si>
  <si>
    <t>https://doi.org/10.17190/AMF/2001309</t>
  </si>
  <si>
    <t>US-Ivo</t>
  </si>
  <si>
    <t>Ivotuk</t>
  </si>
  <si>
    <t>2003, 2004, 2005, 2006, 2007, 2008, 2009, 2010, 2011, 2012, 2013, 2014, 2015, 2016</t>
  </si>
  <si>
    <t>https://doi.org/10.17190/AMF/1246067</t>
  </si>
  <si>
    <t>CO2, FC, FCH4, G, H, H2O, LE, LW_IN, LW_OUT, NEE, NETRAD, P, PA, PPFD_IN, PPFD_OUT, P_RAIN, RH, SC, SWC, SW_IN, SW_OUT, TA, TS, USTAR, VPD, WD, WS</t>
  </si>
  <si>
    <t>US-JLN</t>
  </si>
  <si>
    <t>Jackson Lane - natural</t>
  </si>
  <si>
    <t>Margaret Palmer (mpalmer@sesync.org)</t>
  </si>
  <si>
    <t>US-JLR</t>
  </si>
  <si>
    <t>Jackson Lane - restored</t>
  </si>
  <si>
    <t>Jornada Experimental Range Bajada Site</t>
  </si>
  <si>
    <t>Craig Tweedie (ctweedie@utep.edu)</t>
  </si>
  <si>
    <t>2010, 2011, 2012, 2013, 2014, 2015, 2016, 2017, 2018, 2019, 2020, 2021, 2022</t>
  </si>
  <si>
    <t>https://doi.org/10.17190/AMF/1767833</t>
  </si>
  <si>
    <t>https://doi.org/10.17190/AMF/1902833</t>
  </si>
  <si>
    <t>CH4, CH4_MIXING_RATIO, CO2, CO2_MIXING_RATIO, FC, FCH4, FCH4_SSITC_TEST, FC_SSITC_TEST, FETCH_70, FETCH_80, FETCH_90, FETCH_MAX, FH2O, G, H, H2O, H2O_MIXING_RATIO, H_SSITC_TEST, LE, LEAF_WET, LE_SSITC_TEST, LW_IN, LW_OUT, MO_LENGTH, NETRAD, PA, PPFD_IN, PPFD_OUT, P_RAIN, RH, SWC, SW_IN, SW_OUT, TA, TAU, TAU_SSITC_TEST, TS, T_SONIC, T_SONIC_SIGMA, U_SIGMA, USTAR, V_SIGMA, WD, WD_SIGMA, WS, W_SIGMA, WS_MAX, ZL</t>
  </si>
  <si>
    <t>Jornada Experimental Range Mixed Shrubland</t>
  </si>
  <si>
    <t>Enrique R. Vivoni (vivoni@asu.edu)</t>
  </si>
  <si>
    <t>2010, 2011, 2012, 2013, 2014, 2015, 2016, 2017, 2018, 2019, 2020</t>
  </si>
  <si>
    <t>https://doi.org/10.17190/AMF/1617696</t>
  </si>
  <si>
    <t>https://doi.org/10.17190/AMF/1881584</t>
  </si>
  <si>
    <t>CO2, CO2_SIGMA, FC, FC_SSITC_TEST, FETCH_70, FETCH_80, FETCH_90, FETCH_MAX, G, H, H2O, H2O_SIGMA, H_SSITC_TEST, LE, LE_SSITC_TEST, MO_LENGTH, NETRAD, P, PA, PPFD_IN, PPFD_OUT, P_RAIN, RH, SC, SH, SLE, SWC, SW_IN, SW_OUT, TA, TAU, TAU_SSITC_TEST, TS, T_SONIC, T_SONIC_SIGMA, U_SIGMA, USTAR, VPD, V_SIGMA, WD, WS, W_SIGMA, WS_MAX, ZL</t>
  </si>
  <si>
    <t>US-Jo3</t>
  </si>
  <si>
    <t>Jornada Experimental Range Red Lake Playa</t>
  </si>
  <si>
    <t>Marguerite Mauritz (memauritz@utep.edu)</t>
  </si>
  <si>
    <t>US-JRn</t>
  </si>
  <si>
    <t>WV Jacks Run</t>
  </si>
  <si>
    <t>Jaclyn Hatala Matthes (jmatthes@wellesley.edu)</t>
  </si>
  <si>
    <t>https://doi.org/10.17190/AMF/1617714</t>
  </si>
  <si>
    <t>CH4, CO2, FC, FCH4, H, LE, NETRAD, PA, RH, TA, USTAR, WD, WS</t>
  </si>
  <si>
    <t>US-KCM</t>
  </si>
  <si>
    <t>KCMP Tall Tower</t>
  </si>
  <si>
    <t>Timothy Griffis (timgriffis@umn.edu)</t>
  </si>
  <si>
    <t>US-KFB</t>
  </si>
  <si>
    <t>Konza Prairie LTER (4B)</t>
  </si>
  <si>
    <t>Nathaniel Brunsell (brunsell@ku.edu)</t>
  </si>
  <si>
    <t>Kansas Field Station</t>
  </si>
  <si>
    <t>2007, 2008, 2009, 2010, 2011, 2012, 2013, 2014, 2015, 2016, 2017, 2018, 2019</t>
  </si>
  <si>
    <t>https://doi.org/10.17190/AMF/1246132</t>
  </si>
  <si>
    <t>https://doi.org/10.17190/AMF/1881585</t>
  </si>
  <si>
    <t>CO2, FC, G, GPP, H, H2O, LE, LW_IN, LW_OUT, NEE, NETRAD, P, PA, PBLH, PPFD_IN, PPFD_OUT, RECO, RH, SC, SH, SLE, SWC, SW_IN, SW_OUT, TA, TAU, TS, USTAR, VPD, WD, WS, ZL</t>
  </si>
  <si>
    <t>US-KGF</t>
  </si>
  <si>
    <t>Kingman Farm</t>
  </si>
  <si>
    <t>Scott Ollinger (scott.ollinger@unh.edu)</t>
  </si>
  <si>
    <t>US-KL1</t>
  </si>
  <si>
    <t>KBS Lux Arbor Reserve Corn</t>
  </si>
  <si>
    <t>2009, 2010, 2011, 2012, 2013, 2014, 2015, 2016, 2017, 2018, 2019, 2020, 2021</t>
  </si>
  <si>
    <t>https://doi.org/10.17190/AMF/1660344</t>
  </si>
  <si>
    <t>CO2, FC, G, H, H2O, LE, PA, RH, SWC, SW_IN, TA, TS, T_SONIC, U_SIGMA, USTAR, VPD, V_SIGMA, WD, WS, W_SIGMA, ZL</t>
  </si>
  <si>
    <t>US-KL2</t>
  </si>
  <si>
    <t>KBS Lux Arbor Reserve Switchgrass</t>
  </si>
  <si>
    <t>https://doi.org/10.17190/AMF/1644212</t>
  </si>
  <si>
    <t>US-KL3</t>
  </si>
  <si>
    <t>KBS Lux Arbor Reserve Prairie</t>
  </si>
  <si>
    <t>https://doi.org/10.17190/AMF/1647438</t>
  </si>
  <si>
    <t>Kansas Land Institute</t>
  </si>
  <si>
    <t>2012, 2013, 2014, 2015, 2016, 2017, 2018, 2019</t>
  </si>
  <si>
    <t>https://doi.org/10.17190/AMF/1498745</t>
  </si>
  <si>
    <t>https://doi.org/10.17190/AMF/1854367</t>
  </si>
  <si>
    <t>CO2, FC, G, GPP, H, H2O, LE, LW_IN, LW_OUT, NEE, NETRAD, P, PA, PPFD_IN, PPFD_OUT, RECO, RH, SC, SH, SLE, SWC, SW_IN, SW_OUT, TA, TS, USTAR, VPD, WD, WS, ZL</t>
  </si>
  <si>
    <t>US-KM1</t>
  </si>
  <si>
    <t>KBS Marshall Farms Corn</t>
  </si>
  <si>
    <t>https://doi.org/10.17190/AMF/1647439</t>
  </si>
  <si>
    <t>US-KM2</t>
  </si>
  <si>
    <t>KBS Marshall Farms Prairie</t>
  </si>
  <si>
    <t>https://doi.org/10.17190/AMF/1647440</t>
  </si>
  <si>
    <t>US-KM3</t>
  </si>
  <si>
    <t>KBS Marshall Farms Switchgrass</t>
  </si>
  <si>
    <t>https://doi.org/10.17190/AMF/1660345</t>
  </si>
  <si>
    <t>US-KM4</t>
  </si>
  <si>
    <t>KBS Marshall Farms Smooth Brome Grass (Ref)</t>
  </si>
  <si>
    <t>https://doi.org/10.17190/AMF/1634882</t>
  </si>
  <si>
    <t>CO2, FC, G, H, H2O, LE, LW_IN, LW_OUT, NETRAD, PA, RH, SWC, SW_IN, SW_OUT, TA, TS, T_SONIC, U_SIGMA, USTAR, VPD, V_SIGMA, WD, WS, W_SIGMA, ZL</t>
  </si>
  <si>
    <t>Konza Prairie LTER (KNZ)</t>
  </si>
  <si>
    <t>2004, 2005, 2006, 2007, 2008, 2009, 2010, 2011, 2012, 2013, 2014, 2015, 2016, 2017, 2018, 2019</t>
  </si>
  <si>
    <t>https://doi.org/10.17190/AMF/1246068</t>
  </si>
  <si>
    <t>https://doi.org/10.17190/AMF/2316062</t>
  </si>
  <si>
    <t>CO2, FC, G, GPP, H, H2O, LE, LW_IN, LW_OUT, NEE, NETRAD, P, PA, PPFD_IN, PPFD_OUT, RECO, RH, SC, SH, SLE, SWC, SW_DIF, SW_IN, SW_OUT, TA, TS, USTAR, VPD, WD, WS, ZL</t>
  </si>
  <si>
    <t>US-KPL</t>
  </si>
  <si>
    <t>Lily Lake Fen</t>
  </si>
  <si>
    <t>Patrick Sullivan (pfsullivan@alaska.edu)</t>
  </si>
  <si>
    <t>2021, 2022</t>
  </si>
  <si>
    <t>https://doi.org/10.17190/AMF/1865478</t>
  </si>
  <si>
    <t>ALB, CH4, CH4_MIXING_RATIO, CO2, CO2_MIXING_RATIO, FC, FCH4, FCH4_SSITC_TEST, FC_SSITC_TEST, FETCH_70, FETCH_80, FETCH_90, FETCH_MAX, FH2O, G, H, H2O, H2O_MIXING_RATIO, H_SSITC_TEST, LE, LE_SSITC_TEST, LW_IN, LW_OUT, MO_LENGTH, PA, PPFD_IN, P_RAIN, RH, SWC, SW_IN, SW_OUT, TA, TAU, TAU_SSITC_TEST, T_SONIC, T_SONIC_SIGMA, U_SIGMA, USTAR, VPD, V_SIGMA, WD, WD_SIGMA, WS, W_SIGMA, WS_MAX, ZL</t>
  </si>
  <si>
    <t>US-KS1</t>
  </si>
  <si>
    <t>Kennedy Space Center (slash pine)</t>
  </si>
  <si>
    <t>Ross Hinkle (rhinkle@ucf.edu)</t>
  </si>
  <si>
    <t>2002, 2003</t>
  </si>
  <si>
    <t>https://doi.org/10.17190/AMF/1246069</t>
  </si>
  <si>
    <t>https://doi.org/10.17190/AMF/2229379</t>
  </si>
  <si>
    <t>CO2, FC, G, H, H2O, LE, NEE, NETRAD, P, PA, PPFD_IN, RH, SC, TA, USTAR, VPD, WD, WS</t>
  </si>
  <si>
    <t>US-KS2</t>
  </si>
  <si>
    <t>Kennedy Space Center (scrub oak)</t>
  </si>
  <si>
    <t>https://doi.org/10.17190/AMF/1246070</t>
  </si>
  <si>
    <t>https://doi.org/10.17190/AMF/2229380</t>
  </si>
  <si>
    <t>CO2, FC, G, H, H2O, LE, NEE, NETRAD, P, PA, PPFD_IN, RH, SC, SW_IN, TA, USTAR, VPD, WD, WS</t>
  </si>
  <si>
    <t>Kennedy Space Center (salt marsh)</t>
  </si>
  <si>
    <t>https://doi.org/10.17190/AMF/1562390</t>
  </si>
  <si>
    <t>https://doi.org/10.17190/AMF/1881586</t>
  </si>
  <si>
    <t>CO2, CO2_SIGMA, FC, FC_SSITC_TEST, FETCH_70, FETCH_90, FETCH_MAX, H, H2O, H2O_SIGMA, H_SSITC_TEST, LE, LE_SSITC_TEST, LW_IN, LW_OUT, MO_LENGTH, NETRAD, PA, PPFD_IN, P_RAIN, RH, SC, SH, SLE, SW_IN, SW_OUT, TA, TAU, TAU_SSITC_TEST, T_SONIC, T_SONIC_SIGMA, U_SIGMA, USTAR, VPD, V_SIGMA, WD, WS, W_SIGMA, ZL</t>
  </si>
  <si>
    <t>US-KS4</t>
  </si>
  <si>
    <t>Kennedy Space Center (Spartina marsh)</t>
  </si>
  <si>
    <t>Tammy E. Foster (tammy.foster-1@nasa.gov)</t>
  </si>
  <si>
    <t>2017, 2018, 2019, 2020, 2021, 2022</t>
  </si>
  <si>
    <t>https://doi.org/10.17190/AMF/1767834</t>
  </si>
  <si>
    <t>CO2, CO2_SIGMA, FC, FC_SSITC_TEST, FETCH_70, FETCH_90, FETCH_MAX, G, H, H2O, H2O_SIGMA, H_SSITC_TEST, LE, LE_SSITC_TEST, LW_IN, LW_OUT, MO_LENGTH, NETRAD, PA, P_RAIN, RH, SC, SH, SLE, SWC, SW_IN, SW_OUT, TA, TAU, TAU_SSITC_TEST, TS, T_SONIC, T_SONIC_SIGMA, U_SIGMA, USTAR, VPD, V_SIGMA, WD, WS, W_SIGMA, WS_MAX, ZL</t>
  </si>
  <si>
    <t>US-KUO</t>
  </si>
  <si>
    <t>KUOM tower</t>
  </si>
  <si>
    <t>Joe McFadden (mcfadden@ucsb.edu)</t>
  </si>
  <si>
    <t>US-KUT</t>
  </si>
  <si>
    <t>KUOM Turfgrass Field</t>
  </si>
  <si>
    <t>2005, 2006, 2007, 2008, 2009</t>
  </si>
  <si>
    <t>https://doi.org/10.17190/AMF/1246145</t>
  </si>
  <si>
    <t>US-Kyv</t>
  </si>
  <si>
    <t>Apple Orchard ARS Kearneysville WV</t>
  </si>
  <si>
    <t>Andrew M. Bierer (andrew.bierer@usda.gov)</t>
  </si>
  <si>
    <t>US-LA1</t>
  </si>
  <si>
    <t>Pointe-aux-Chenes Brackish Marsh</t>
  </si>
  <si>
    <t>Melinda Martinez (melindamartinez@usgs.gov)</t>
  </si>
  <si>
    <t>2011, 2012</t>
  </si>
  <si>
    <t>https://doi.org/10.17190/AMF/1543386</t>
  </si>
  <si>
    <t>FC, FCH4, FCH4_SSITC_TEST, FC_SSITC_TEST, H, H_SSITC_TEST, LE, LE_SSITC_TEST, MO_LENGTH, PPFD_IN, RH, TA, TS, USTAR, VPD, V_SIGMA, WD, WS</t>
  </si>
  <si>
    <t>US-LA2</t>
  </si>
  <si>
    <t>Salvador WMA Freshwater Marsh</t>
  </si>
  <si>
    <t>2011, 2012, 2013, 2014, 2015, 2016, 2017, 2018, 2019, 2020, 2021, 2022, 2023</t>
  </si>
  <si>
    <t>https://doi.org/10.17190/AMF/1543387</t>
  </si>
  <si>
    <t>CH4, CH4_MIXING_RATIO, CO2, CO2_MIXING_RATIO, FC, FCH4, FCH4_SSITC_TEST, FC_SSITC_TEST, FETCH_70, FETCH_80, FETCH_90, FETCH_MAX, H, H2O, H2O_MIXING_RATIO, H_SSITC_TEST, LE, LE_SSITC_TEST, LW_IN, LW_OUT, MO_LENGTH, NETRAD, PA, PPFD_IN, P_RAIN, RH, SW_IN, SW_OUT, TA, TAU, TAU_SSITC_TEST, TS, T_SONIC, U_SIGMA, USTAR, VPD, V_SIGMA, WD, WS, W_SIGMA, WS_MAX, ZL</t>
  </si>
  <si>
    <t>US-LA3</t>
  </si>
  <si>
    <t>Barataria Bay Saline Marsh</t>
  </si>
  <si>
    <t>https://doi.org/10.17190/AMF/2229156</t>
  </si>
  <si>
    <t>CH4, CH4_MIXING_RATIO, CO2, CO2_MIXING_RATIO, FC, FCH4, FCH4_SSITC_TEST, FC_SSITC_TEST, FETCH_70, FETCH_80, FETCH_90, FETCH_MAX, H, H2O, H2O_MIXING_RATIO, H_SSITC_TEST, LE, LE_SSITC_TEST, LW_IN, LW_OUT, MO_LENGTH, NETRAD, PA, PPFD_IN, P_RAIN, RH, SWC, SW_IN, SW_OUT, TA, TAU, TAU_SSITC_TEST, TS, T_SONIC, U_SIGMA, USTAR, V_SIGMA, WD, WS, W_SIGMA, WS_MAX, ZL</t>
  </si>
  <si>
    <t>US-LGr</t>
  </si>
  <si>
    <t>Lockney Grassland</t>
  </si>
  <si>
    <t>Nithya Rajan (nrajan@tamu.edu)</t>
  </si>
  <si>
    <t>US-Lin</t>
  </si>
  <si>
    <t>Lindcove Orange Orchard</t>
  </si>
  <si>
    <t>Silvano Fares (silvano.fares@cnr.it)</t>
  </si>
  <si>
    <t>2009, 2010</t>
  </si>
  <si>
    <t>https://doi.org/10.17190/AMF/1246830</t>
  </si>
  <si>
    <t>https://doi.org/10.17190/AMF/2229381</t>
  </si>
  <si>
    <t>CO2, FC, G, H, H2O, LE, NETRAD, P, PA, PPFD_IN, RH, SWC, TA, TS, USTAR, VPD, WD, WS</t>
  </si>
  <si>
    <t>US-LL1</t>
  </si>
  <si>
    <t>Longleaf Pine - Baker (Mesic site)</t>
  </si>
  <si>
    <t>Gregory Starr (gstarr@ua.edu)</t>
  </si>
  <si>
    <t>2009, 2010, 2011, 2012, 2013, 2014, 2015, 2016, 2017, 2018, 2019, 2020</t>
  </si>
  <si>
    <t>https://doi.org/10.17190/AMF/1773395</t>
  </si>
  <si>
    <t>CO2, CO2_SIGMA, FC, G, GPP, H, H2O, H2O_SIGMA, LE, LW_IN, LW_OUT, NEE, NETRAD, P, PA, PPFD_IN, P_RAIN, RECO, RH, SC, SWC, SW_IN, SW_OUT, TA, TAU, TS, T_SONIC, T_SONIC_SIGMA, U_SIGMA, USTAR, VPD, V_SIGMA, WD, WS, W_SIGMA</t>
  </si>
  <si>
    <t>US-LL2</t>
  </si>
  <si>
    <t>Longleaf Pine - Dubignion (Intermediate site)</t>
  </si>
  <si>
    <t>2009, 2010, 2011, 2012, 2013, 2014, 2015, 2016, 2017</t>
  </si>
  <si>
    <t>https://doi.org/10.17190/AMF/1773396</t>
  </si>
  <si>
    <t>US-LL3</t>
  </si>
  <si>
    <t>Longleaf Pine - Red Dirt (Xeric site)</t>
  </si>
  <si>
    <t>https://doi.org/10.17190/AMF/1773397</t>
  </si>
  <si>
    <t>US-LMS</t>
  </si>
  <si>
    <t>LMRB LTAR Schmidt Farm</t>
  </si>
  <si>
    <t>Lindsey Witthaus (lindsey.witthaus@usda.gov)</t>
  </si>
  <si>
    <t>US-Los</t>
  </si>
  <si>
    <t>Lost Creek</t>
  </si>
  <si>
    <t>2000, 2001, 2002, 2003, 2004, 2005, 2006, 2007, 2008, 2009, 2010, 2011, 2012, 2013, 2014, 2015, 2016, 2017, 2018, 2019, 2020, 2021, 2022, 2023, 2024</t>
  </si>
  <si>
    <t>https://doi.org/10.17190/AMF/1246071</t>
  </si>
  <si>
    <t>CH4, CO2, FC, FCH4, G, GPP, H, H2O, LE, LW_IN, LW_OUT, NEE, NETRAD, P, PA, PPFD_IN, RECO, SC, SCH4, SH, SLE, SW_IN, SW_OUT, TA, T_BOLE, TS, USTAR, VPD, WD, WS, WTD</t>
  </si>
  <si>
    <t>US-LPH</t>
  </si>
  <si>
    <t>Little Prospect Hill</t>
  </si>
  <si>
    <t>Julian Hadley (ameriflux-support@lbl.gov)</t>
  </si>
  <si>
    <t>2002, 2003, 2004, 2005</t>
  </si>
  <si>
    <t>https://doi.org/10.17190/AMF/1246072</t>
  </si>
  <si>
    <t>US-LS1</t>
  </si>
  <si>
    <t>San Pedro River Lewis Springs Sacaton Grassland</t>
  </si>
  <si>
    <t>2002, 2003, 2004, 2005, 2006, 2007</t>
  </si>
  <si>
    <t>https://doi.org/10.17190/AMF/1660346</t>
  </si>
  <si>
    <t>CO2, FC, G, GPP, H, H2O, LE, NEE, NETRAD, P, PA, PPFD_IN, PPFD_OUT, RECO, RH, SWC, TA, TS, T_SONIC, USTAR, WD, WS</t>
  </si>
  <si>
    <t>US-LS2</t>
  </si>
  <si>
    <t>San Pedro River Lewis Springs Savanna</t>
  </si>
  <si>
    <t>https://doi.org/10.17190/AMF/1660347</t>
  </si>
  <si>
    <t>https://doi.org/10.17190/AMF/2204870</t>
  </si>
  <si>
    <t>CO2, FC, G, GPP, H, H2O, LE, NEE, NETRAD, P, PA, PPFD_IN, PPFD_OUT, RECO, RH, SWC, SW_IN, TA, TS, T_SONIC, USTAR, WD, WS</t>
  </si>
  <si>
    <t>US-LU1</t>
  </si>
  <si>
    <t>Missouri-Moreau River Basin USDA Certified Organic Farm</t>
  </si>
  <si>
    <t>Sean Zeiger (zeigersean@gmail.com)</t>
  </si>
  <si>
    <t>US-LWW</t>
  </si>
  <si>
    <t>Little Washita Watershed</t>
  </si>
  <si>
    <t>1997, 1998</t>
  </si>
  <si>
    <t>https://doi.org/10.17190/AMF/1246073</t>
  </si>
  <si>
    <t>FC, G, H, LE, NETRAD, P, PA, PPFD_IN, RH, SW_IN, TA, USTAR, VPD, WD, WS</t>
  </si>
  <si>
    <t>US-MAC</t>
  </si>
  <si>
    <t>MacArthur Agro-Ecology</t>
  </si>
  <si>
    <t>Jed P. Sparks (jps66@cornell.edu)</t>
  </si>
  <si>
    <t>US-MBP</t>
  </si>
  <si>
    <t>Marcell Bog Lake Peatland</t>
  </si>
  <si>
    <t>2009, 2010, 2011, 2012, 2013, 2014, 2015, 2016, 2017, 2018, 2019, 2020, 2021, 2022, 2023</t>
  </si>
  <si>
    <t>https://doi.org/10.17190/AMF/1767835</t>
  </si>
  <si>
    <t>CH4, CO2, FC, FCH4, H, H2O, LE, LW_IN, LW_OUT, NETRAD, PA, PPFD_IN, RH, SW_IN, SW_OUT, TA, TS, T_SONIC, USTAR, WD, WS</t>
  </si>
  <si>
    <t>US-MC1</t>
  </si>
  <si>
    <t>Creston, Montana pivot-irrigated spring wheat</t>
  </si>
  <si>
    <t>https://doi.org/10.17190/AMF/1660348</t>
  </si>
  <si>
    <t>ALB, CO2, CO2_SIGMA, FC, FC_SSITC_TEST, G, H, H2O, H2O_SIGMA, LE, LE_SSITC_TEST, LW_IN, LW_OUT, NETRAD, PPFD_IN, RH, SWC, SW_IN, SW_OUT, TA, TAU, TAU_SSITC_TEST, TS, T_SONIC, T_SONIC_SIGMA, U_SIGMA, USTAR, VPD, V_SIGMA, WD, WS, W_SIGMA, ZL</t>
  </si>
  <si>
    <t>US-MC2</t>
  </si>
  <si>
    <t>Creston, Montana pivot-irrigated spring wheat 2</t>
  </si>
  <si>
    <t>https://doi.org/10.17190/AMF/1829506</t>
  </si>
  <si>
    <t>ALB, CO2, CO2_SIGMA, FC, FC_SSITC_TEST, G, H, H2O, H2O_SIGMA, H_SSITC_TEST, LE, LE_SSITC_TEST, LW_IN, LW_OUT, NETRAD, PPFD_IN, RH, SWC, SW_IN, SW_OUT, TA, TAU, TAU_SSITC_TEST, TS, T_SONIC, T_SONIC_SIGMA, U_SIGMA, USTAR, VPD, V_SIGMA, WD, WS, W_SIGMA, ZL</t>
  </si>
  <si>
    <t>US-MCP</t>
  </si>
  <si>
    <t>Moro Cojo Slough, PG&amp;E Treatment Wetland</t>
  </si>
  <si>
    <t>US-Me1</t>
  </si>
  <si>
    <t>Metolius - Eyerly burn</t>
  </si>
  <si>
    <t>Bev Law (bev.law@oregonstate.edu)</t>
  </si>
  <si>
    <t>https://doi.org/10.17190/AMF/1246074</t>
  </si>
  <si>
    <t>https://doi.org/10.17190/AMF/1902834</t>
  </si>
  <si>
    <t>CO2, FC, G, H, LE, NETRAD, P, PA, PPFD_DIF, PPFD_IN, RH, SC, SH, SWC, TA, TS, USTAR, VPD, WD, WS</t>
  </si>
  <si>
    <t>Metolius mature ponderosa pine</t>
  </si>
  <si>
    <t>Chris Still (chris.still@oregonstate.edu)</t>
  </si>
  <si>
    <t>2002, 2003, 2004, 2005, 2006, 2007, 2008, 2009, 2010, 2011, 2012, 2013, 2014, 2015, 2016, 2017, 2018, 2019, 2020, 2021, 2022, 2023, 2024</t>
  </si>
  <si>
    <t>https://doi.org/10.17190/AMF/1246076</t>
  </si>
  <si>
    <t>2002, 2003, 2004, 2005, 2006, 2007, 2008, 2009, 2010, 2011, 2012, 2013, 2014, 2015, 2016, 2017, 2018, 2019, 2020, 2021, 2022</t>
  </si>
  <si>
    <t>https://doi.org/10.17190/AMF/1854368</t>
  </si>
  <si>
    <t>ALB, CO2, D_SNOW, FC, G, GPP, H, H2O, LE, LW_IN, LW_OUT, NEE, NETRAD, P, PA, PPFD_DIF, PPFD_DIR, PPFD_IN, RECO, RH, SWC, SW_IN, SW_OUT, TA, TS, T_SONIC, T_SONIC_SIGMA, U_SIGMA, USTAR, V_SIGMA, WD, WS, W_SIGMA, WS_MAX</t>
  </si>
  <si>
    <t>US-Me3</t>
  </si>
  <si>
    <t>Metolius-second young aged pine</t>
  </si>
  <si>
    <t>2004, 2005, 2006, 2007, 2008, 2009</t>
  </si>
  <si>
    <t>https://doi.org/10.17190/AMF/1246077</t>
  </si>
  <si>
    <t>https://doi.org/10.17190/AMF/1902835</t>
  </si>
  <si>
    <t>APAR, CO2, FC, GPP, H, H2O, LE, LW_IN, LW_OUT, NEE, NETRAD, P, PA, PPFD_IN, RECO, RH, SH, SLE, SWC, SW_IN, SW_OUT, TA, TS, USTAR, VPD, WD, WS, ZL</t>
  </si>
  <si>
    <t>US-Me4</t>
  </si>
  <si>
    <t>Metolius-old aged ponderosa pine</t>
  </si>
  <si>
    <t>Chad Hanson (chad.hanson@oregonstate.edu)</t>
  </si>
  <si>
    <t>https://doi.org/10.17190/AMF/1246078</t>
  </si>
  <si>
    <t>FC, G, H, LE, LW_IN, LW_OUT, NETRAD, P, PA, PPFD_IN, RH, SW_IN, SW_OUT, TA, TS, USTAR, VPD, WD, WS</t>
  </si>
  <si>
    <t>US-Me5</t>
  </si>
  <si>
    <t>Metolius-first young aged pine</t>
  </si>
  <si>
    <t>1999, 2000, 2001, 2002</t>
  </si>
  <si>
    <t>https://doi.org/10.17190/AMF/1246079</t>
  </si>
  <si>
    <t>APAR, CO2, FAPAR, FC, G, GPP, H, H2O, LE, LW_IN, LW_OUT, NEE, NETRAD, P, PA, PPFD_DIF, PPFD_IN, PPFD_OUT, RECO, RH, SC, SH, SLE, SWC, SW_DIF, SW_IN, SW_OUT, TA, TS, USTAR, VPD, WD, WS, ZL</t>
  </si>
  <si>
    <t>Metolius Young Pine Burn</t>
  </si>
  <si>
    <t>https://doi.org/10.17190/AMF/1246128</t>
  </si>
  <si>
    <t>https://doi.org/10.17190/AMF/2204871</t>
  </si>
  <si>
    <t>ALB, CO2, D_SNOW, FC, G, GPP, H, H2O, LE, LW_IN, LW_OUT, NEE, NETRAD, P, PA, PPFD_IN, RECO, RH, SWC, SW_IN, SW_OUT, TA, TS, T_SONIC, T_SONIC_SIGMA, U_SIGMA, USTAR, V_SIGMA, WD, WS, W_SIGMA</t>
  </si>
  <si>
    <t>US-Me7</t>
  </si>
  <si>
    <t>Metolius Low Burn Severity Subcanopy</t>
  </si>
  <si>
    <t>https://doi.org/10.17190/AMF/2331381</t>
  </si>
  <si>
    <t>CO2, FC, H, H2O, LE, LW_IN, LW_OUT, NETRAD, PA, PPFD_IN, RH, SW_IN, SW_OUT, TA, T_SONIC, T_SONIC_SIGMA, U_SIGMA, USTAR, V_SIGMA, WD, WS, W_SIGMA, WS_MAX</t>
  </si>
  <si>
    <t>US-Men</t>
  </si>
  <si>
    <t>Lake Mendota, Center for Limnology Site</t>
  </si>
  <si>
    <t>2012, 2013, 2014, 2015, 2016, 2017, 2018</t>
  </si>
  <si>
    <t>https://doi.org/10.17190/AMF/1433375</t>
  </si>
  <si>
    <t>CO2, FC, H, H2O, LE, LW_IN, P, PA, RH, SW_IN, TA, TW, USTAR, VPD, WD, WS</t>
  </si>
  <si>
    <t>US-MFs</t>
  </si>
  <si>
    <t>Moore Fields</t>
  </si>
  <si>
    <t>US-MG1</t>
  </si>
  <si>
    <t>MPG Ranch Rangeland Restoration</t>
  </si>
  <si>
    <t>Morgan McLeod (mmcleod@mpgranch.com)</t>
  </si>
  <si>
    <t>Dwb</t>
  </si>
  <si>
    <t xml:space="preserve">Warm Summer Continental: dry winters </t>
  </si>
  <si>
    <t>US-MH1</t>
  </si>
  <si>
    <t>Huntley, Montana irrigated barley site 1</t>
  </si>
  <si>
    <t>https://doi.org/10.17190/AMF/1660349</t>
  </si>
  <si>
    <t>US-MH2</t>
  </si>
  <si>
    <t>Huntley, Montana irrigated barley site 2</t>
  </si>
  <si>
    <t>https://doi.org/10.17190/AMF/1825938</t>
  </si>
  <si>
    <t>ALB, CO2, FC, G, H, H2O, LE, LW_IN, LW_OUT, NETRAD, P, PPFD_IN, RH, SWC, SW_IN, SW_OUT, TA, TS, T_SONIC, USTAR, VPD, WD, WS, ZL</t>
  </si>
  <si>
    <t>US-Mi1</t>
  </si>
  <si>
    <t>LTAR UCB (Upper Chesapeake Bay) Miscanthus 1</t>
  </si>
  <si>
    <t>2015, 2016, 2017, 2018, 2019</t>
  </si>
  <si>
    <t>https://doi.org/10.17190/AMF/1865479</t>
  </si>
  <si>
    <t>CO2, CO2_MIXING_RATIO, FC, FETCH_70, FETCH_80, FETCH_90, FETCH_MAX, G, H, H2O, H2O_MIXING_RATIO, LE, MO_LENGTH, NETRAD, PA, PPFD_IN, P_RAIN, SWC, TA, TAU, TS, T_SONIC, T_SONIC_SIGMA, U_SIGMA, USTAR, V_SIGMA, WD, WS, W_SIGMA, WS_MAX, ZL</t>
  </si>
  <si>
    <t>US-Mi2</t>
  </si>
  <si>
    <t>LTAR UCB (Upper Chesapeake Bay) Miscanthus 2</t>
  </si>
  <si>
    <t>https://doi.org/10.17190/AMF/1865480</t>
  </si>
  <si>
    <t>US-Mi3</t>
  </si>
  <si>
    <t>LTAR UCB (Upper Chesapeake Bay) Miscanthus 3</t>
  </si>
  <si>
    <t>https://doi.org/10.17190/AMF/1865481</t>
  </si>
  <si>
    <t>US-Mj1</t>
  </si>
  <si>
    <t>Montana Judith Basin wheat field</t>
  </si>
  <si>
    <t>Paul C. Stoy (pcstoy@wisc.edu)</t>
  </si>
  <si>
    <t>2013, 2014</t>
  </si>
  <si>
    <t>https://doi.org/10.17190/AMF/1617715</t>
  </si>
  <si>
    <t>ALB, CO2, FC, FC_SSITC_TEST, FETCH_90, FETCH_MAX, G, H, H2O, LE, LW_IN, LW_OUT, NETRAD, PPFD_IN, RH, SWC, SW_IN, SW_OUT, TA, TAU, TS, T_SONIC, T_SONIC_SIGMA, U_SIGMA, USTAR, VPD, V_SIGMA, WD, WS, W_SIGMA, ZL</t>
  </si>
  <si>
    <t>US-Mj2</t>
  </si>
  <si>
    <t>Montana Judith Basin summer fallow field</t>
  </si>
  <si>
    <t>https://doi.org/10.17190/AMF/1617716</t>
  </si>
  <si>
    <t>ALB, FC, FC_SSITC_TEST, FETCH_90, FETCH_MAX, G, H, H2O, LE, LW_IN, LW_OUT, NETRAD, RH, SWC, SW_IN, SW_OUT, TA, TAU, TS, T_SONIC, T_SONIC_SIGMA, U_SIGMA, USTAR, VPD, V_SIGMA, WD, WS, W_SIGMA, ZL</t>
  </si>
  <si>
    <t>Morgan Monroe State Forest</t>
  </si>
  <si>
    <t>Rich Phillips (rpp6@indiana.edu)</t>
  </si>
  <si>
    <t>https://doi.org/10.17190/AMF/1246080</t>
  </si>
  <si>
    <t>https://doi.org/10.17190/AMF/1854369</t>
  </si>
  <si>
    <t>CO2, FC, G, H, H2O, LE, LW_BC_IN, LW_BC_OUT, LW_IN, LW_OUT, NETRAD, P, PA, PPFD_BC_IN, PPFD_DIF, PPFD_IN, RECO, RH, SW_BC_IN, SW_BC_OUT, SWC, SW_IN, SW_OUT, TA, TS, T_SONIC, T_SONIC_SIGMA, U_SIGMA, USTAR, VPD, V_SIGMA, WD, WS, W_SIGMA</t>
  </si>
  <si>
    <t>US-MN1</t>
  </si>
  <si>
    <t>Morris: Corn-Soybean with Cover Crops, Strip Tillage</t>
  </si>
  <si>
    <t>Sharon Weyers (sharon.weyers@usda.gov)</t>
  </si>
  <si>
    <t>2017, 2018, 2019, 2020, 2021, 2022, 2023</t>
  </si>
  <si>
    <t>https://doi.org/10.17190/AMF/2407204</t>
  </si>
  <si>
    <t>ALB, CO2, CO2_MIXING_RATIO, CO2_SIGMA, FC, FC_SSITC_TEST, FETCH_70, FETCH_90, FETCH_MAX, FH2O, GPP, H, H2O, H2O_MIXING_RATIO, H2O_SIGMA, H_SSITC_TEST, LE, LE_SSITC_TEST, LW_IN, LW_OUT, MO_LENGTH, NEE, NETRAD, P, PA, PPFD_IN, RECO, RH, SWC, SW_IN, SW_OUT, TA, TAU, TAU_SSITC_TEST, T_CANOPY, TS, T_SONIC, T_SONIC_SIGMA, U_SIGMA, USTAR, VPD, V_SIGMA, WD, WD_SIGMA, WS, W_SIGMA, WS_MAX, ZL</t>
  </si>
  <si>
    <t>US-MN2</t>
  </si>
  <si>
    <t>Morris: Corn-Soybean-Wheat with Cover Crops, Minimal Tillage</t>
  </si>
  <si>
    <t>https://doi.org/10.17190/AMF/2407205</t>
  </si>
  <si>
    <t>US-MN3</t>
  </si>
  <si>
    <t>Morris: Corn-Soybean, Conventional Tillage</t>
  </si>
  <si>
    <t>https://doi.org/10.17190/AMF/2407206</t>
  </si>
  <si>
    <t>ALB, CO2, CO2_MIXING_RATIO, CO2_SIGMA, FC, FC_SSITC_TEST, FETCH_70, FETCH_90, FETCH_MAX, FH2O, G, GPP, H, H2O, H2O_MIXING_RATIO, H2O_SIGMA, H_SSITC_TEST, LE, LE_SSITC_TEST, LW_IN, LW_OUT, MO_LENGTH, NEE, NETRAD, P, PA, PPFD_IN, RECO, RH, SWC, SW_IN, SW_OUT, TA, TAU, TAU_SSITC_TEST, T_CANOPY, TS, T_SONIC, T_SONIC_SIGMA, U_SIGMA, USTAR, VPD, V_SIGMA, WD, WD_SIGMA, WS, W_SIGMA, WS_MAX, ZL</t>
  </si>
  <si>
    <t>LTAR CMRB Field 1 (CMRB ASP)</t>
  </si>
  <si>
    <t>Adam Schreiner-McGraw (Adam.Schreiner-McGraw@usda.gov)</t>
  </si>
  <si>
    <t>https://doi.org/10.17190/AMF/1870588</t>
  </si>
  <si>
    <t>https://doi.org/10.17190/AMF/2229382</t>
  </si>
  <si>
    <t>CO2, CO2_MIXING_RATIO, CO2_SIGMA, FC, G, GPP, H, H2O, H2O_MIXING_RATIO, H2O_SIGMA, LE, LW_IN, LW_OUT, MO_LENGTH, NEE, NETRAD, P, PA, PPFD_IN, PPFD_OUT, RECO, RH, SG, SWC, SW_IN, SW_OUT, TA, TAU, TS, T_SONIC, T_SONIC_SIGMA, U_SIGMA, USTAR, VPD, V_SIGMA, WD, WS, W_SIGMA</t>
  </si>
  <si>
    <t>LTAR CMRB Tucker Prairie (CMRB TP)</t>
  </si>
  <si>
    <t>https://doi.org/10.17190/AMF/1902276</t>
  </si>
  <si>
    <t>https://doi.org/10.17190/AMF/2229383</t>
  </si>
  <si>
    <t>LTAR CMRB Field 3 (CMRB BAU)</t>
  </si>
  <si>
    <t>2016, 2017, 2018, 2019, 2020, 2021, 2022, 2023</t>
  </si>
  <si>
    <t>https://doi.org/10.17190/AMF/1870589</t>
  </si>
  <si>
    <t>https://doi.org/10.17190/AMF/2229384</t>
  </si>
  <si>
    <t>Missouri Ozark Site</t>
  </si>
  <si>
    <t>Lianhong Gu (lianhong-gu@ornl.gov)</t>
  </si>
  <si>
    <t>2004, 2005, 2006, 2007, 2008, 2009, 2010, 2011, 2012, 2013, 2014, 2015, 2016, 2017, 2018, 2019, 2020, 2021</t>
  </si>
  <si>
    <t>https://doi.org/10.17190/AMF/1246081</t>
  </si>
  <si>
    <t>https://doi.org/10.17190/AMF/1854370</t>
  </si>
  <si>
    <t>CO2, FC, G, H, H2O, LE, LW_IN, LW_OUT, NEE, NETRAD, P, PA, PPFD_IN, PPFD_OUT, RH, SC, SH, SLE, SWC, SW_IN, SW_OUT, TA, TS, USTAR, WD, WS</t>
  </si>
  <si>
    <t>Mountainair Pinyon-Juniper Woodland</t>
  </si>
  <si>
    <t>2008, 2009, 2010, 2011, 2012, 2013, 2014, 2015, 2016, 2017, 2018, 2019, 2020, 2021, 2022, 2023, 2024</t>
  </si>
  <si>
    <t>https://doi.org/10.17190/AMF/1246123</t>
  </si>
  <si>
    <t>https://doi.org/10.17190/AMF/1832161</t>
  </si>
  <si>
    <t>CO2, FC, H, H2O, LE, LW_IN, LW_OUT, NETRAD, P, PA, PPFD_IN, RH, SW_IN, SW_OUT, TA, USTAR, VPD, WD, WS</t>
  </si>
  <si>
    <t>US-MRf</t>
  </si>
  <si>
    <t>Mary's River (Fir) site</t>
  </si>
  <si>
    <t>2006, 2007, 2008, 2009, 2010, 2011</t>
  </si>
  <si>
    <t>https://doi.org/10.17190/AMF/1246049</t>
  </si>
  <si>
    <t>US-MRM</t>
  </si>
  <si>
    <t>Marsh Resource Meadowlands Mitigation Bank</t>
  </si>
  <si>
    <t>US-MSR</t>
  </si>
  <si>
    <t xml:space="preserve">Montana Sun River winter wheat </t>
  </si>
  <si>
    <t>https://doi.org/10.17190/AMF/1617717</t>
  </si>
  <si>
    <t>ALB, APAR, CO2, FAPAR, FC, G, H, H2O, LE, LW_IN, LW_OUT, NDVI, NETRAD, P, PPFD_IN, PPFD_OUT, PRI, RH, SPEC_NIR_IN, SPEC_NIR_OUT, SPEC_NIR_REFL, SPEC_PRI_REF_IN, SPEC_PRI_REF_OUT, SPEC_PRI_REF_REFL, SPEC_PRI_TGT_IN, SPEC_PRI_TGT_OUT, SPEC_PRI_TGT_REFL, SPEC_RED_IN, SPEC_RED_OUT, SPEC_RED_REFL, SWC, SW_IN, SW_OUT, TA, TAU, TS, T_SONIC, T_SONIC_SIGMA, U_SIGMA, USTAR, VPD, V_SIGMA, WD, WS, W_SIGMA</t>
  </si>
  <si>
    <t>US-MtB</t>
  </si>
  <si>
    <t>Mt Bigelow</t>
  </si>
  <si>
    <t>Russ Scott (russ.scott@usda.gov)</t>
  </si>
  <si>
    <t>https://doi.org/10.17190/AMF/1579717</t>
  </si>
  <si>
    <t>CO2, D_SNOW, FC, G, H, H2O, LE, LW_IN, LW_OUT, NETRAD, P, PA, PPFD_IN, PPFD_OUT, RH, SWC, SW_IN, SW_OUT, TA, T_BOLE, TS, T_SONIC, USTAR, VPD, WD, WS</t>
  </si>
  <si>
    <t>US-MVF</t>
  </si>
  <si>
    <t>Montana Vaughn Fallow</t>
  </si>
  <si>
    <t>https://doi.org/10.17190/AMF/1829507</t>
  </si>
  <si>
    <t>ALB, CO2, CO2_SIGMA, FC, FC_SSITC_TEST, G, H, H2O, H_SSITC_TEST, LE, LE_SSITC_TEST, LW_IN, LW_OUT, NETRAD, P, RH, SW_IN, SW_OUT, TA, TAU, TAU_SSITC_TEST, TS, T_SONIC, T_SONIC_SIGMA, U_SIGMA, USTAR, VPD, V_SIGMA, WD, WS, W_SIGMA, ZL</t>
  </si>
  <si>
    <t>US-MVW</t>
  </si>
  <si>
    <t>Montana Vaughn Wheat</t>
  </si>
  <si>
    <t>https://doi.org/10.17190/AMF/1829508</t>
  </si>
  <si>
    <t>ALB, CO2, CO2_SIGMA, FC, FC_SSITC_TEST, G, H, H2O, H_SSITC_TEST, LE, LE_SSITC_TEST, LW_IN, LW_OUT, NETRAD, P, PPFD_IN, PPFD_OUT, RH, SWC, SW_IN, SW_OUT, TA, TAU, TAU_SSITC_TEST, TS, T_SONIC, T_SONIC_SIGMA, U_SIGMA, USTAR, VPD, V_SIGMA, WD, WS, W_SIGMA, ZL</t>
  </si>
  <si>
    <t>US-MWA</t>
  </si>
  <si>
    <t>Jackson Agricultural Field</t>
  </si>
  <si>
    <t>https://doi.org/10.17190/AMF/1782819</t>
  </si>
  <si>
    <t>CO2, CO2_MIXING_RATIO, FC, FC_SSITC_TEST, FETCH_70, FETCH_80, FETCH_90, FETCH_MAX, G, H, H2O, H2O_MIXING_RATIO, H_SSITC_TEST, LE, LE_SSITC_TEST, LW_IN, LW_OUT, MO_LENGTH, PA, RH, SWC, SW_IN, SW_OUT, TA, TAU, TAU_SSITC_TEST, TS, T_SONIC, T_SONIC_SIGMA, U_SIGMA, USTAR, V_SIGMA, WD, WS, W_SIGMA, WS_MAX, ZL</t>
  </si>
  <si>
    <t>US-MWF</t>
  </si>
  <si>
    <t>Kellogg Experimental Forest</t>
  </si>
  <si>
    <t>https://doi.org/10.17190/AMF/1782820</t>
  </si>
  <si>
    <t>CO2, CO2_MIXING_RATIO, FC, FC_SSITC_TEST, FETCH_70, FETCH_80, FETCH_90, FETCH_MAX, H, H2O, H2O_MIXING_RATIO, H_SSITC_TEST, LE, LE_SSITC_TEST, LW_IN, LW_OUT, MO_LENGTH, P, PA, RH, SW_IN, SW_OUT, TA, TAU, TAU_SSITC_TEST, T_SONIC, T_SONIC_SIGMA, U_SIGMA, USTAR, V_SIGMA, WD, WS, W_SIGMA, WS_MAX, ZL</t>
  </si>
  <si>
    <t>US-MWS</t>
  </si>
  <si>
    <t>Michigan State University Campus Site - Spartans</t>
  </si>
  <si>
    <t>https://doi.org/10.17190/AMF/1782821</t>
  </si>
  <si>
    <t>CO2, CO2_MIXING_RATIO, FC, FC_SSITC_TEST, FETCH_70, FETCH_80, FETCH_90, FETCH_MAX, H, H2O, H2O_MIXING_RATIO, H_SSITC_TEST, LE, LE_SSITC_TEST, MO_LENGTH, P, PA, RH, SW_IN, SW_OUT, TA, TAU, TAU_SSITC_TEST, T_SONIC, T_SONIC_SIGMA, U_SIGMA, USTAR, V_SIGMA, WD, WS, W_SIGMA, WS_MAX, ZL</t>
  </si>
  <si>
    <t>US-MWU</t>
  </si>
  <si>
    <t>Battle Creek Area Mathematics and Science Center</t>
  </si>
  <si>
    <t>https://doi.org/10.17190/AMF/1782823</t>
  </si>
  <si>
    <t>CO2, CO2_MIXING_RATIO, FC, FC_SSITC_TEST, FETCH_70, FETCH_80, FETCH_90, FETCH_MAX, H, H2O, H2O_MIXING_RATIO, H_SSITC_TEST, LE, LE_SSITC_TEST, MO_LENGTH, P, PA, PPFD_IN, RH, TA, TAU, TAU_SSITC_TEST, T_SONIC, T_SONIC_SIGMA, U_SIGMA, USTAR, V_SIGMA, WD, WS, W_SIGMA, WS_MAX, ZL</t>
  </si>
  <si>
    <t>US-MWW</t>
  </si>
  <si>
    <t>Allegan Wetland</t>
  </si>
  <si>
    <t>https://doi.org/10.17190/AMF/1804490</t>
  </si>
  <si>
    <t>CO2, CO2_MIXING_RATIO, FC, FC_SSITC_TEST, FETCH_70, FETCH_80, FETCH_90, FETCH_MAX, H, H2O, H2O_MIXING_RATIO, H_SSITC_TEST, LE, LE_SSITC_TEST, LW_IN, LW_OUT, MO_LENGTH, PA, PPFD_IN, RH, SW_IN, SW_OUT, TA, TAU, TAU_SSITC_TEST, T_SONIC, T_SONIC_SIGMA, TW, U_SIGMA, USTAR, V_SIGMA, WD, WS, W_SIGMA, WS_MAX, ZL</t>
  </si>
  <si>
    <t>Mayberry Wetland</t>
  </si>
  <si>
    <t>2010, 2011, 2012, 2013, 2014, 2015, 2016, 2017, 2018, 2019, 2020, 2021, 2022, 2023</t>
  </si>
  <si>
    <t>https://doi.org/10.17190/AMF/1246139</t>
  </si>
  <si>
    <t>https://doi.org/10.17190/AMF/1871139</t>
  </si>
  <si>
    <t>CH4, CO2, COND_WATER, FC, FCH4, FCH4_SSITC_TEST, FC_SSITC_TEST, GPP, H, H2O, H_SSITC_TEST, LE, LE_SSITC_TEST, LW_IN, LW_OUT, MO_LENGTH, NETRAD, P, PA, PPFD_DIF, PPFD_IN, PPFD_OUT, RECO, RH, SW_IN, SW_OUT, TA, TAU, TAU_SSITC_TEST, TS, T_SONIC, T_SONIC_SIGMA, USTAR, VPD, V_SIGMA, WD, WS, W_SIGMA, WTD, ZL</t>
  </si>
  <si>
    <t>US-NC1</t>
  </si>
  <si>
    <t>NC_Clearcut</t>
  </si>
  <si>
    <t>2005, 2006, 2007, 2008, 2009, 2010, 2011, 2012</t>
  </si>
  <si>
    <t>https://doi.org/10.17190/AMF/1246082</t>
  </si>
  <si>
    <t>https://doi.org/10.17190/AMF/1902836</t>
  </si>
  <si>
    <t>CO2, FC, G, H, H2O, LE, LW_IN, LW_OUT, MO_LENGTH, NEE, NETRAD, P, PA, PPFD_IN, RH, SC, SWC, SW_IN, SW_OUT, TA, TAU, TS, T_SONIC, U_SIGMA, USTAR, VPD, V_SIGMA, WD, WS, W_SIGMA, WS_MAX, ZL</t>
  </si>
  <si>
    <t>US-NC2</t>
  </si>
  <si>
    <t>NC_Loblolly Plantation</t>
  </si>
  <si>
    <t>2005, 2006, 2007, 2008, 2009, 2010, 2011, 2012, 2013, 2014, 2015, 2016, 2017, 2018, 2019, 2020, 2021, 2022, 2023, 2024</t>
  </si>
  <si>
    <t>https://doi.org/10.17190/AMF/1246083</t>
  </si>
  <si>
    <t>CH4, CO2, FC, FCH4, G, H, H2O, LE, LW_IN, LW_OUT, MO_LENGTH, NEE, NETRAD, P, PA, PPFD_IN, RH, SC, SH, SWC, SW_IN, SW_OUT, TA, TAU, TS, T_SONIC, U_SIGMA, USTAR, VPD, V_SIGMA, WD, WS, W_SIGMA, WS_MAX, WTD, ZL</t>
  </si>
  <si>
    <t>NC_Clearcut#3</t>
  </si>
  <si>
    <t>2013, 2014, 2015, 2016, 2017, 2018, 2019, 2020, 2021</t>
  </si>
  <si>
    <t>https://doi.org/10.17190/AMF/1419506</t>
  </si>
  <si>
    <t>https://doi.org/10.17190/AMF/2204872</t>
  </si>
  <si>
    <t>CO2, FC, G, H, H2O, LE, LW_IN, LW_OUT, MO_LENGTH, NEE, NETRAD, P, PA, PPFD_IN, RH, SC, SH, SWC, SW_IN, SW_OUT, TA, TAU, TS, T_SONIC, U_SIGMA, USTAR, VPD, V_SIGMA, WD, WS, W_SIGMA, WS_MAX, WTD, ZL</t>
  </si>
  <si>
    <t>NC_AlligatorRiver</t>
  </si>
  <si>
    <t>John King (john_king@ncsu.edu)</t>
  </si>
  <si>
    <t>https://doi.org/10.17190/AMF/1480314</t>
  </si>
  <si>
    <t>https://doi.org/10.17190/AMF/1902837</t>
  </si>
  <si>
    <t>Mead - irrigated continuous maize site</t>
  </si>
  <si>
    <t>Andy Suyker (asuyker1@unl.edu)</t>
  </si>
  <si>
    <t>2001, 2002, 2003, 2004, 2005, 2006, 2007, 2008, 2009, 2010, 2011, 2012, 2013, 2014, 2015, 2016, 2017, 2018, 2019, 2020, 2021, 2022, 2023, 2024</t>
  </si>
  <si>
    <t>https://doi.org/10.17190/AMF/1246084</t>
  </si>
  <si>
    <t>2001, 2002, 2003, 2004, 2005, 2006, 2007, 2008, 2009, 2010, 2011, 2012, 2013, 2014, 2015, 2016, 2017, 2018, 2019, 2020</t>
  </si>
  <si>
    <t>https://doi.org/10.17190/AMF/1871140</t>
  </si>
  <si>
    <t>CO2, FAPAR, FC, G, GPP, H, LE, LW_IN, LW_OUT, NEE, NETRAD, P, PA, PPFD_DIF, PPFD_DIR, PPFD_IN, PPFD_OUT, RECO, RH, SC, SWC, SW_IN, SW_OUT, TA, TS, USTAR, WD, WS, ZL</t>
  </si>
  <si>
    <t>US-Ne2</t>
  </si>
  <si>
    <t>Mead - irrigated maize-soybean rotation site</t>
  </si>
  <si>
    <t>https://doi.org/10.17190/AMF/1246085</t>
  </si>
  <si>
    <t>US-Ne3</t>
  </si>
  <si>
    <t>Mead - rainfed maize-soybean rotation site</t>
  </si>
  <si>
    <t>https://doi.org/10.17190/AMF/1246086</t>
  </si>
  <si>
    <t>NGEE Arctic Barrow</t>
  </si>
  <si>
    <t>SNO</t>
  </si>
  <si>
    <t xml:space="preserve">Snow and Ice: Lands under snow/ice cover most of the year. </t>
  </si>
  <si>
    <t>2012, 2013, 2014, 2015, 2016, 2017, 2018, 2019, 2020, 2021, 2022, 2023</t>
  </si>
  <si>
    <t>https://doi.org/10.17190/AMF/1436326</t>
  </si>
  <si>
    <t>https://doi.org/10.17190/AMF/1832162</t>
  </si>
  <si>
    <t>ALB, CH4, CO2, FC, FCH4, FETCH_90, FETCH_MAX, FH2O, G, H, H2O, LE, LW_IN, LW_OUT, MO_LENGTH, NETRAD, PA, PPFD_IN, PPFD_OUT, RH, SW_IN, SW_OUT, TA, TAU, TS, T_SONIC, T_SONIC_SIGMA, U_SIGMA, USTAR, VPD, V_SIGMA, WD, WS, W_SIGMA, WS_MAX, ZL</t>
  </si>
  <si>
    <t>NGEE Arctic Council</t>
  </si>
  <si>
    <t>https://doi.org/10.17190/AMF/1634883</t>
  </si>
  <si>
    <t>https://doi.org/10.17190/AMF/1902838</t>
  </si>
  <si>
    <t>ALB, CH4, CO2, CO2_SIGMA, FC, FCH4, FETCH_90, FETCH_MAX, FH2O, G, H, H2O, LE, LW_IN, LW_OUT, MO_LENGTH, NETRAD, PA, PPFD_IN, PPFD_OUT, RH, SWC, SW_IN, SW_OUT, TA, TAU, TS, T_SONIC, T_SONIC_SIGMA, U_SIGMA, USTAR, VPD, V_SIGMA, WD, WS, W_SIGMA, WS_MAX, ZL</t>
  </si>
  <si>
    <t>US-NMj</t>
  </si>
  <si>
    <t>Northern Michigan Jack Pine Stand</t>
  </si>
  <si>
    <t>2001, 2002, 2003</t>
  </si>
  <si>
    <t>https://doi.org/10.17190/AMF/1246087</t>
  </si>
  <si>
    <t>G, H, H2O, LE, P, PA, RH, TA, TS, USTAR, VPD, WD, WS</t>
  </si>
  <si>
    <t>US-NP1</t>
  </si>
  <si>
    <t>Business-As-Usual Management (mandanh5)</t>
  </si>
  <si>
    <t>Mark Liebig (mark.liebig@usda.gov)</t>
  </si>
  <si>
    <t>US-NP2</t>
  </si>
  <si>
    <t>ASPirational Management (mandani2)</t>
  </si>
  <si>
    <t>US-NR1</t>
  </si>
  <si>
    <t>Niwot Ridge Forest (LTER NWT1)</t>
  </si>
  <si>
    <t>Peter Blanken (Blanken@Colorado.EDU)</t>
  </si>
  <si>
    <t>1998, 1999, 2000, 2001, 2002, 2003, 2004, 2005, 2006, 2007, 2008, 2009, 2010, 2011, 2012, 2013, 2014, 2015, 2016, 2017, 2018, 2019, 2020, 2021, 2022, 2023, 2024</t>
  </si>
  <si>
    <t>https://doi.org/10.17190/AMF/1246088</t>
  </si>
  <si>
    <t>1998, 1999, 2000, 2001, 2002, 2003, 2004, 2005, 2006, 2007, 2008, 2009, 2010, 2011, 2012, 2013, 2014, 2015, 2016</t>
  </si>
  <si>
    <t>https://doi.org/10.17190/AMF/1871141</t>
  </si>
  <si>
    <t>CO2, CO2C13, FC, G, H, LE, LEAF_WET, LW_IN, LW_OUT, NETRAD, P, PA, PPFD_IN, PPFD_OUT, RH, SB, SC, SG, SH, SLE, SWC, SW_IN, SW_OUT, TA, TAU, T_BOLE, TS, USTAR, VPD, WD, WS, ZL</t>
  </si>
  <si>
    <t>US-NR2</t>
  </si>
  <si>
    <t>Niwot Ridge Forest (USGS site)</t>
  </si>
  <si>
    <t>Dean Anderson (deander@usgs.gov)</t>
  </si>
  <si>
    <t>US-NR3</t>
  </si>
  <si>
    <t>Niwot Ridge Alpine (T-Van West)</t>
  </si>
  <si>
    <t>https://doi.org/10.17190/AMF/1804491</t>
  </si>
  <si>
    <t>CO2, D_SNOW, FC, G, H, H2O, LE, NETRAD, PA, RH, SWC, SW_IN, TA, TS, T_SONIC, USTAR, VPD, WD, WS</t>
  </si>
  <si>
    <t>US-NR4</t>
  </si>
  <si>
    <t>Niwot Ridge Alpine (T-Van East)</t>
  </si>
  <si>
    <t>https://doi.org/10.17190/AMF/1804492</t>
  </si>
  <si>
    <t>CO2, D_SNOW, FC, G, H, H2O, LE, NETRAD, PA, PPFD_IN, RH, SWC, SW_IN, TA, TS, T_SONIC, USTAR, VPD, WD, WS</t>
  </si>
  <si>
    <t>US-Nrf</t>
  </si>
  <si>
    <t>Nisqually reference</t>
  </si>
  <si>
    <t>Lisamarie Windham-Myers (lwindham-myers@usgs.gov)</t>
  </si>
  <si>
    <t>US-Nrs</t>
  </si>
  <si>
    <t>Nisqually restoring</t>
  </si>
  <si>
    <t>US-NSW</t>
  </si>
  <si>
    <t>Newman Seasonal Wetlands</t>
  </si>
  <si>
    <t>Liyi Xu (liyi@hydrofocus.com)</t>
  </si>
  <si>
    <t>US-OF1</t>
  </si>
  <si>
    <t>Osceola Farm Rice Field - SW</t>
  </si>
  <si>
    <t>Michele L Reba (michele.reba@ars.usda.gov)</t>
  </si>
  <si>
    <t>US-OF2</t>
  </si>
  <si>
    <t>Osceola Farm Rice Field - NW</t>
  </si>
  <si>
    <t>US-OK1</t>
  </si>
  <si>
    <t>ECB: Site A1 - North Field</t>
  </si>
  <si>
    <t>Kevin King (kevin.king@usda.gov)</t>
  </si>
  <si>
    <t>US-OK2</t>
  </si>
  <si>
    <t>ECB: Site A3 - South Field</t>
  </si>
  <si>
    <t>Florida pine flatwoods</t>
  </si>
  <si>
    <t>Maria Silveira (mlas@ufl.edu)</t>
  </si>
  <si>
    <t>https://doi.org/10.17190/AMF/1660350</t>
  </si>
  <si>
    <t>https://doi.org/10.17190/AMF/1832163</t>
  </si>
  <si>
    <t>CH4, CO2, CO2_SIGMA, FC, FCH4, FCH4_SSITC_TEST, FC_SSITC_TEST, FETCH_70, FETCH_80, FETCH_90, FETCH_MAX, G, H, H2O, H2O_SIGMA, H_SSITC_TEST, LE, LE_SSITC_TEST, LW_IN, LW_OUT, MO_LENGTH, NETRAD, PA, PPFD_IN, P_RAIN, RH, SC, SCH4, SH, SLE, SWC, SW_IN, SW_OUT, TA, TAU, TAU_SSITC_TEST, TS, T_SONIC, T_SONIC_SIGMA, U_SIGMA, USTAR, VPD, V_SIGMA, WD, WS, W_SIGMA, WS_MAX, WTD, ZL</t>
  </si>
  <si>
    <t>US-OPE</t>
  </si>
  <si>
    <t>Optimizing Production Inputs for Economic and Environmental Enhancement (OPE3)</t>
  </si>
  <si>
    <t>Joe Alfieri (joe.alfieri@usda.gov)</t>
  </si>
  <si>
    <t>https://doi.org/10.17190/AMF/2315769</t>
  </si>
  <si>
    <t>ALB, CO2, CO2_SIGMA, FC, FC_SSITC_TEST, FETCH_90, FETCH_MAX, G, H, H2O, H2O_SIGMA, H_SSITC_TEST, LE, LE_SSITC_TEST, LW_IN, LW_OUT, MO_LENGTH, NETRAD, P, PA, PPFD_IN, RH, SWC, SW_IN, SW_OUT, TA, TAU, TAU_SSITC_TEST, T_CANOPY, TS, T_SONIC, T_SONIC_SIGMA, U_SIGMA, USTAR, VPD, V_SIGMA, WD, WS, W_SIGMA, WS_MAX, ZL</t>
  </si>
  <si>
    <t>US-ORv</t>
  </si>
  <si>
    <t>Olentangy River Wetland Research Park</t>
  </si>
  <si>
    <t>Gil Bohrer (bohrer.17@osu.edu)</t>
  </si>
  <si>
    <t>2011, 2012, 2013, 2014, 2015, 2016</t>
  </si>
  <si>
    <t>https://doi.org/10.17190/AMF/1246135</t>
  </si>
  <si>
    <t>https://doi.org/10.17190/AMF/1832164</t>
  </si>
  <si>
    <t>CH4, CO2, FC, FCH4, H, H2O, LE, LW_IN, LW_OUT, NEE, NETRAD, PA, PPFD_IN, RECO, RH, SC, SW_IN, SW_OUT, TA, TS, USTAR, WD, WS</t>
  </si>
  <si>
    <t>US-OWC</t>
  </si>
  <si>
    <t>Old Woman Creek</t>
  </si>
  <si>
    <t>https://doi.org/10.17190/AMF/1418679</t>
  </si>
  <si>
    <t>2015, 2016</t>
  </si>
  <si>
    <t>https://doi.org/10.17190/AMF/1871142</t>
  </si>
  <si>
    <t>CH4, CO2, FC, FCH4, GPP, H, H2O, LE, LW_IN, LW_OUT, MO_LENGTH, NEE, NETRAD, P, PA, PPFD_IN, RECO, RH, SW_IN, SW_OUT, TA, TS, USTAR, VPD, WD, WS, WTD</t>
  </si>
  <si>
    <t>US-PAS</t>
  </si>
  <si>
    <t>Florida, Paspalum notatum pasture</t>
  </si>
  <si>
    <t>Rosvel Bracho (rbracho@ufl.edu)</t>
  </si>
  <si>
    <t>https://doi.org/10.17190/AMF/1870590</t>
  </si>
  <si>
    <t>US-PeA</t>
  </si>
  <si>
    <t>5R Pecan Farm Above Canopy</t>
  </si>
  <si>
    <t>Marguerite Mauritz Tozer (memauritz@utep.edu)</t>
  </si>
  <si>
    <t>US-PFa</t>
  </si>
  <si>
    <t>Park Falls/WLEF</t>
  </si>
  <si>
    <t>1995, 1996, 1997, 1998, 1999, 2000, 2001, 2002, 2003, 2004, 2005, 2006, 2007, 2008, 2009, 2010, 2011, 2012, 2013, 2014, 2015, 2016, 2017, 2018, 2019, 2020, 2021, 2022, 2023, 2024</t>
  </si>
  <si>
    <t>https://doi.org/10.17190/AMF/1246090</t>
  </si>
  <si>
    <t>CH4, CO2, FC, FCH4, GPP, H, H2O, LE, NEE, P, PA, PPFD_IN, RECO, RH, SC, SCH4, SH, SLE, SWC, TA, TS, USTAR, VPD, WD, WS</t>
  </si>
  <si>
    <t>US-PFb</t>
  </si>
  <si>
    <t>NW1 Pine-1 CHEESEHEAD 2019</t>
  </si>
  <si>
    <t>https://doi.org/10.17190/AMF/1717850</t>
  </si>
  <si>
    <t>https://doi.org/10.17190/AMF/2469454</t>
  </si>
  <si>
    <t>CO2, FC, FC_SSITC_TEST, G, H, H_SSITC_TEST, LE, LE_SSITC_TEST, LW_IN, LW_OUT, MO_LENGTH, NEE, NETRAD, PA, RH, SC, SG, SH, SLE, SWC, SW_IN, SW_OUT, TA, TAU, TAU_SSITC_TEST, TS, T_SONIC, U_SIGMA, USTAR, V_SIGMA, WD, WS, W_SIGMA, ZL</t>
  </si>
  <si>
    <t>US-PFc</t>
  </si>
  <si>
    <t>NW2 Aspen-1 CHEESEHEAD 2019</t>
  </si>
  <si>
    <t>https://doi.org/10.17190/AMF/1717851</t>
  </si>
  <si>
    <t>https://doi.org/10.17190/AMF/2469455</t>
  </si>
  <si>
    <t>US-PFd</t>
  </si>
  <si>
    <t>NW3 Tussock-1 CHEESEHEAD 2019</t>
  </si>
  <si>
    <t>https://doi.org/10.17190/AMF/1717852</t>
  </si>
  <si>
    <t>https://doi.org/10.17190/AMF/2469456</t>
  </si>
  <si>
    <t>US-PFe</t>
  </si>
  <si>
    <t>NW4 Lake-1 CHEESEHEAD 2019</t>
  </si>
  <si>
    <t>https://doi.org/10.17190/AMF/1717853</t>
  </si>
  <si>
    <t>US-PFf</t>
  </si>
  <si>
    <t>NW5 Grass-1 CHEESEHEAD 2019</t>
  </si>
  <si>
    <t>https://doi.org/10.17190/AMF/1890484</t>
  </si>
  <si>
    <t>ALB, CO2, FC, FC_SSITC_TEST, G, H, H2O, H_SSITC_TEST, LE, LE_SSITC_TEST, LW_IN, LW_OUT, NDVI, NETRAD, PA, PRI, RH, SPEC_NIR_IN, SPEC_NIR_OUT, SPEC_NIR_REFL, SPEC_PRI_REF_IN, SPEC_PRI_REF_OUT, SPEC_PRI_REF_REFL, SPEC_PRI_TGT_IN, SPEC_PRI_TGT_OUT, SPEC_PRI_TGT_REFL, SPEC_RED_IN, SPEC_RED_OUT, SPEC_RED_REFL, SWC, SW_DIF, SW_DIR, SW_IN, SW_OUT, TA, TAU, TAU_SSITC_TEST, T_SONIC, USTAR, VPD, WD, WS, ZL</t>
  </si>
  <si>
    <t>US-PFg</t>
  </si>
  <si>
    <t>NE1 Pine-2 CHEESEHEAD 2019</t>
  </si>
  <si>
    <t>https://doi.org/10.17190/AMF/1717854</t>
  </si>
  <si>
    <t>US-PFh</t>
  </si>
  <si>
    <t>NE2 Pine-3 CHEESEHEAD 2019</t>
  </si>
  <si>
    <t>https://doi.org/10.17190/AMF/1717855</t>
  </si>
  <si>
    <t>US-PFi</t>
  </si>
  <si>
    <t>NE3 Hardwood-1 CHEESEHEAD 2019</t>
  </si>
  <si>
    <t>https://doi.org/10.17190/AMF/1717856</t>
  </si>
  <si>
    <t>US-PFj</t>
  </si>
  <si>
    <t>NE4 Maple-1 CHEESEHEAD 2019</t>
  </si>
  <si>
    <t>https://doi.org/10.17190/AMF/1717857</t>
  </si>
  <si>
    <t>US-PFk</t>
  </si>
  <si>
    <t>SW1 Aspen-2 CHEESEHEAD 2019</t>
  </si>
  <si>
    <t>https://doi.org/10.17190/AMF/1717858</t>
  </si>
  <si>
    <t>https://doi.org/10.17190/AMF/2469457</t>
  </si>
  <si>
    <t>US-PFL</t>
  </si>
  <si>
    <t>SW2 Aspen-3 CHEESEHEAD 2019</t>
  </si>
  <si>
    <t>https://doi.org/10.17190/AMF/1717859</t>
  </si>
  <si>
    <t>https://doi.org/10.17190/AMF/2469458</t>
  </si>
  <si>
    <t>US-PFm</t>
  </si>
  <si>
    <t>SW3 Hardwood-2 CHEESEHEAD 2019</t>
  </si>
  <si>
    <t>https://doi.org/10.17190/AMF/1717860</t>
  </si>
  <si>
    <t>https://doi.org/10.17190/AMF/2469459</t>
  </si>
  <si>
    <t>US-PFn</t>
  </si>
  <si>
    <t>SW4 Hardwood-3 CHEESEHEAD 2019</t>
  </si>
  <si>
    <t>https://doi.org/10.17190/AMF/1717861</t>
  </si>
  <si>
    <t>https://doi.org/10.17190/AMF/2469460</t>
  </si>
  <si>
    <t>US-PFo</t>
  </si>
  <si>
    <t>SE1 Lake-2 CHEESEHEAD 2019</t>
  </si>
  <si>
    <t>https://doi.org/10.17190/AMF/1880912</t>
  </si>
  <si>
    <t>ALB, CO2, FC, FC_SSITC_TEST, H, H2O, H_SSITC_TEST, LE, LE_SSITC_TEST, LW_IN, LW_OUT, NETRAD, PA, RH, SW_IN, SW_OUT, TA, TAU, TAU_SSITC_TEST, T_SONIC, U_SIGMA, USTAR, VPD, V_SIGMA, WS, W_SIGMA, ZL</t>
  </si>
  <si>
    <t>US-PFp</t>
  </si>
  <si>
    <t>SE2 Hardwood-4 CHEESEHEAD 2019</t>
  </si>
  <si>
    <t>https://doi.org/10.17190/AMF/1717862</t>
  </si>
  <si>
    <t>https://doi.org/10.17190/AMF/2469461</t>
  </si>
  <si>
    <t>US-PFq</t>
  </si>
  <si>
    <t>SE3 Aspen-4 CHEESEHEAD 2019</t>
  </si>
  <si>
    <t>https://doi.org/10.17190/AMF/1717863</t>
  </si>
  <si>
    <t>https://doi.org/10.17190/AMF/2469462</t>
  </si>
  <si>
    <t>US-PFr</t>
  </si>
  <si>
    <t>SE4 Tussock-2 CHEESEHEAD 2019</t>
  </si>
  <si>
    <t>https://doi.org/10.17190/AMF/1717864</t>
  </si>
  <si>
    <t>US-PFs</t>
  </si>
  <si>
    <t>SE5 Aspen-5 CHEESEHEAD 2019</t>
  </si>
  <si>
    <t>https://doi.org/10.17190/AMF/1717865</t>
  </si>
  <si>
    <t>US-PFt</t>
  </si>
  <si>
    <t>SE6 Pine-4 CHEESEHEAD 2019</t>
  </si>
  <si>
    <t>https://doi.org/10.17190/AMF/1717866</t>
  </si>
  <si>
    <t>https://doi.org/10.17190/AMF/2469463</t>
  </si>
  <si>
    <t>US-PHM</t>
  </si>
  <si>
    <t>Plum Island High Marsh</t>
  </si>
  <si>
    <t>Inke Forbrich (inke.forbrich@utoledo.edu)</t>
  </si>
  <si>
    <t>2013, 2014, 2015, 2016, 2017, 2018, 2019, 2020</t>
  </si>
  <si>
    <t>https://doi.org/10.17190/AMF/1543377</t>
  </si>
  <si>
    <t>ALB, CO2, CO2_SIGMA, FC, FC_SSITC_TEST, FETCH_FILTER, G, GPP, H, H2O, H2O_SIGMA, H_SSITC_TEST, LE, LE_SSITC_TEST, LW_IN, LW_OUT, MO_LENGTH, NDVI, NEE, NETRAD, PA, PPFD_IN, PPFD_OUT, RECO, RH, SW_IN, SW_OUT, TA, TS, T_SONIC, T_SONIC_SIGMA, U_SIGMA, USTAR, VPD, V_SIGMA, WD, WS, W_SIGMA, WS_MAX, WTD, ZL</t>
  </si>
  <si>
    <t>US-PiU</t>
  </si>
  <si>
    <t>Pine Upland</t>
  </si>
  <si>
    <t>US-PLM</t>
  </si>
  <si>
    <t>Plum Island Low Marsh</t>
  </si>
  <si>
    <t>US-PLo</t>
  </si>
  <si>
    <t>Plum Island Oligohaline Marsh</t>
  </si>
  <si>
    <t>Lake Mendota, Picnic Point Site</t>
  </si>
  <si>
    <t>https://doi.org/10.17190/AMF/1433376</t>
  </si>
  <si>
    <t>https://doi.org/10.17190/AMF/2229386</t>
  </si>
  <si>
    <t>CO2, COND_WATER, DO, FC, H, H2O, LE, LW_IN, P, PA, PCO2, RH, SW_IN, TA, TW, USTAR, VPD, WD, WS</t>
  </si>
  <si>
    <t>US-Pon</t>
  </si>
  <si>
    <t>Ponca City</t>
  </si>
  <si>
    <t>1997, 1998, 1999, 2000</t>
  </si>
  <si>
    <t>https://doi.org/10.17190/AMF/1246091</t>
  </si>
  <si>
    <t>US-Prr</t>
  </si>
  <si>
    <t>Poker Flat Research Range Black Spruce Forest</t>
  </si>
  <si>
    <t>Hiroki Ikawa (hikawa.biomet@gmail.com)</t>
  </si>
  <si>
    <t>https://doi.org/10.17190/AMF/1246153</t>
  </si>
  <si>
    <t>CO2, D_SNOW, FC, G, GPP, H, H2O, LE, LW_BC_IN, LW_BC_OUT, LW_IN, LW_OUT, PA, PPFD_BC_IN, PPFD_BC_OUT, PPFD_IN, PPFD_OUT, P_RAIN, RECO, RH, SC, SH, SLE, SW_BC_IN, SW_BC_OUT, SWC, SW_IN, SW_OUT, TA, TS, USTAR, WD, WS, ZL</t>
  </si>
  <si>
    <t>US-PSH</t>
  </si>
  <si>
    <t>USSL San Joaquin Valley Pistachio High</t>
  </si>
  <si>
    <t>https://doi.org/10.17190/AMF/1617719</t>
  </si>
  <si>
    <t>https://doi.org/10.17190/AMF/2469464</t>
  </si>
  <si>
    <t>US-PSL</t>
  </si>
  <si>
    <t>USSL San Joaquin Valley Pistachio Low</t>
  </si>
  <si>
    <t>https://doi.org/10.17190/AMF/1617720</t>
  </si>
  <si>
    <t>https://doi.org/10.17190/AMF/2469465</t>
  </si>
  <si>
    <t>US-PVA</t>
  </si>
  <si>
    <t>PVAMU Research Farm</t>
  </si>
  <si>
    <t>Ram L. Ray (raray@pvamu.edu)</t>
  </si>
  <si>
    <t>US-Px1</t>
  </si>
  <si>
    <t>Phoenix, Maryvale Neighborhood Site</t>
  </si>
  <si>
    <t>US-Px2</t>
  </si>
  <si>
    <t>Phoenix, Encanto Golf Course</t>
  </si>
  <si>
    <t>US-Px3</t>
  </si>
  <si>
    <t>Phoenix, Desert botanical garden site</t>
  </si>
  <si>
    <t>US-Px4</t>
  </si>
  <si>
    <t>Phoenix, Encanto Vehicle Lot</t>
  </si>
  <si>
    <t>US-Px5</t>
  </si>
  <si>
    <t>ASU Polytech Center for Bio-mediated and Bio-inspired Geotechnics (CBBG) Field Lab</t>
  </si>
  <si>
    <t>US-RC1</t>
  </si>
  <si>
    <t>Cook Agronomy Farm - No Till</t>
  </si>
  <si>
    <t>https://doi.org/10.17190/AMF/1498748</t>
  </si>
  <si>
    <t>CO2, FC, FC_SSITC_TEST, FETCH_70, FETCH_90, FETCH_MAX, H, H_SSITC_TEST, LE, LE_SSITC_TEST, MO_LENGTH, NETRAD, P, PA, PPFD_IN, RH, SC, SH, SLE, TA, TAU, TAU_SSITC_TEST, T_SONIC, T_SONIC_SIGMA, U_SIGMA, USTAR, VPD, V_SIGMA, WD, WS, W_SIGMA, WS_MAX, ZL</t>
  </si>
  <si>
    <t>US-RC2</t>
  </si>
  <si>
    <t>Cook Agronomy Farm - Conventional Till</t>
  </si>
  <si>
    <t>https://doi.org/10.17190/AMF/1498747</t>
  </si>
  <si>
    <t>US-RC3</t>
  </si>
  <si>
    <t>WSU Lind Dryland Research Station</t>
  </si>
  <si>
    <t>https://doi.org/10.17190/AMF/1498749</t>
  </si>
  <si>
    <t>US-RC4</t>
  </si>
  <si>
    <t>Moscow Mountain on-farm site</t>
  </si>
  <si>
    <t>https://doi.org/10.17190/AMF/1498750</t>
  </si>
  <si>
    <t>US-RC5</t>
  </si>
  <si>
    <t>Moses Lake on-farm site</t>
  </si>
  <si>
    <t>2013, 2014, 2015</t>
  </si>
  <si>
    <t>https://doi.org/10.17190/AMF/1498751</t>
  </si>
  <si>
    <t>US-RFE</t>
  </si>
  <si>
    <t>RockyFlats - East site</t>
  </si>
  <si>
    <t>US-RFW</t>
  </si>
  <si>
    <t>RockyFlats - West site</t>
  </si>
  <si>
    <t>Arkansas Corn Farm</t>
  </si>
  <si>
    <t>Sebastien C. Biraud (SCBiraud@lbl.gov)</t>
  </si>
  <si>
    <t>https://doi.org/10.17190/AMF/1880913</t>
  </si>
  <si>
    <t>https://doi.org/10.17190/AMF/2204873</t>
  </si>
  <si>
    <t>CO2, FC, FC_SSITC_TEST, FETCH_70, FETCH_80, FETCH_90, FETCH_MAX, G, H, H2O, H_SSITC_TEST, LE, LE_SSITC_TEST, LW_IN, LW_OUT, MO_LENGTH, NETRAD, P, PA, PPFD_IN, PPFD_OUT, RH, SWC, SW_IN, SW_OUT, TA, TAU, TAU_SSITC_TEST, TS, T_SONIC, T_SONIC_SIGMA, U_SIGMA, USTAR, V_SIGMA, WD, WS, W_SIGMA, WS_MAX</t>
  </si>
  <si>
    <t>Butte County Rice Farm</t>
  </si>
  <si>
    <t>https://doi.org/10.17190/AMF/1870591</t>
  </si>
  <si>
    <t>https://doi.org/10.17190/AMF/2204874</t>
  </si>
  <si>
    <t>US-RGF</t>
  </si>
  <si>
    <t>Stanislaus County Forage Farm</t>
  </si>
  <si>
    <t>https://doi.org/10.17190/AMF/2001310</t>
  </si>
  <si>
    <t>https://doi.org/10.17190/AMF/2469466</t>
  </si>
  <si>
    <t>US-RGG</t>
  </si>
  <si>
    <t>Glenn County Rice Farm</t>
  </si>
  <si>
    <t>Glenn County Organic Rice Farm</t>
  </si>
  <si>
    <t>https://doi.org/10.17190/AMF/1880914</t>
  </si>
  <si>
    <t>https://doi.org/10.17190/AMF/2204875</t>
  </si>
  <si>
    <t>US-RGW</t>
  </si>
  <si>
    <t>Desha County Rice Farm</t>
  </si>
  <si>
    <t>https://doi.org/10.17190/AMF/1880915</t>
  </si>
  <si>
    <t>https://doi.org/10.17190/AMF/2469467</t>
  </si>
  <si>
    <t>RCEW Low Sagebrush</t>
  </si>
  <si>
    <t>Gerald Flerchinger (gerald.flerchinger@usda.gov)</t>
  </si>
  <si>
    <t>2014, 2015, 2016, 2017, 2018, 2019, 2020, 2021, 2022, 2023</t>
  </si>
  <si>
    <t>https://doi.org/10.17190/AMF/1418682</t>
  </si>
  <si>
    <t>https://doi.org/10.17190/AMF/2229387</t>
  </si>
  <si>
    <t>CO2, D_SNOW, FC, FETCH_70, FETCH_90, FETCH_FILTER, FETCH_MAX, G, H, H2O, LE, LW_IN, LW_OUT, MO_LENGTH, NEE, NETRAD, P, PA, PPFD_IN, RH, SC, SLE, SWC, SW_IN, SW_OUT, TA, TAU, TS, T_SONIC, T_SONIC_SIGMA, U_SIGMA, USTAR, V_SIGMA, WD, WS, W_SIGMA, ZL</t>
  </si>
  <si>
    <t>RCEW Mountain Big Sagebrush</t>
  </si>
  <si>
    <t>https://doi.org/10.17190/AMF/1375202</t>
  </si>
  <si>
    <t>https://doi.org/10.17190/AMF/1881587</t>
  </si>
  <si>
    <t>US-Ro1</t>
  </si>
  <si>
    <t>Rosemount- G21</t>
  </si>
  <si>
    <t>2004, 2005, 2006, 2007, 2008, 2009, 2010, 2011, 2012, 2013, 2014, 2015, 2016</t>
  </si>
  <si>
    <t>https://doi.org/10.17190/AMF/1246092</t>
  </si>
  <si>
    <t>https://doi.org/10.17190/AMF/1881588</t>
  </si>
  <si>
    <t>ALB, CO2, FC, G, GPP, H, H2O, LE, LW_IN, LW_OUT, NEE, NETRAD, P, PA, PPFD_IN, RECO, RH, SC, SH, SLE, SWC, SW_IN, SW_OUT, TA, T_CANOPY, TS, USTAR, VPD, WD, WS, ZL</t>
  </si>
  <si>
    <t>US-Ro2</t>
  </si>
  <si>
    <t>Rosemount- C7</t>
  </si>
  <si>
    <t>https://doi.org/10.17190/AMF/1418683</t>
  </si>
  <si>
    <t>https://doi.org/10.17190/AMF/2204876</t>
  </si>
  <si>
    <t>ALB, CO2, FC, G, GPP, H, H2O, LE, LW_IN, LW_OUT, NEE, NETRAD, P, PA, PPFD_IN, RECO, RH, SC, SH, SLE, SW_IN, SW_OUT, TA, T_CANOPY, TS, USTAR, VPD, WD, WS, ZL</t>
  </si>
  <si>
    <t>US-Ro3</t>
  </si>
  <si>
    <t>Rosemount- G19</t>
  </si>
  <si>
    <t>2004, 2005, 2006, 2007</t>
  </si>
  <si>
    <t>https://doi.org/10.17190/AMF/1246093</t>
  </si>
  <si>
    <t>https://doi.org/10.17190/AMF/2469468</t>
  </si>
  <si>
    <t>CO2, FC, G, H, H2O, LE, NETRAD, P, PA, PPFD_IN, RH, SW_IN, TA, TS, USTAR, VPD, WS</t>
  </si>
  <si>
    <t>Rosemount Prairie</t>
  </si>
  <si>
    <t>2014, 2015, 2016, 2017, 2018, 2019, 2020, 2021, 2022, 2023, 2024</t>
  </si>
  <si>
    <t>https://doi.org/10.17190/AMF/1419507</t>
  </si>
  <si>
    <t>https://doi.org/10.17190/AMF/1881589</t>
  </si>
  <si>
    <t>Rosemount I18_South</t>
  </si>
  <si>
    <t>https://doi.org/10.17190/AMF/1419508</t>
  </si>
  <si>
    <t>https://doi.org/10.17190/AMF/1818371</t>
  </si>
  <si>
    <t>Rosemount I18_North</t>
  </si>
  <si>
    <t>https://doi.org/10.17190/AMF/1419509</t>
  </si>
  <si>
    <t>https://doi.org/10.17190/AMF/1881590</t>
  </si>
  <si>
    <t>Poker Flat Research Range: Succession from fire scar to deciduous forest</t>
  </si>
  <si>
    <t>https://doi.org/10.17190/AMF/1579540</t>
  </si>
  <si>
    <t>https://doi.org/10.17190/AMF/2229388</t>
  </si>
  <si>
    <t>CO2, D_SNOW, FC, FETCH_80, G, GPP, H, LE, LW_IN, LW_OUT, NEE, NETRAD, P, PA, PPFD_IN, PPFD_OUT, P_RAIN, RECO, RH, SC, SW_BC_IN, SWC, SW_IN, SW_OUT, TA, T_CANOPY, TS, T_SONIC_SIGMA, U_SIGMA, USTAR, V_SIGMA, WD, WS, W_SIGMA</t>
  </si>
  <si>
    <t>US-RRC</t>
  </si>
  <si>
    <t>Rice Rivers Center Marsh</t>
  </si>
  <si>
    <t>Scott Neubauer (sneubauer@VCU.EDU)</t>
  </si>
  <si>
    <t>https://doi.org/10.17190/AMF/2331382</t>
  </si>
  <si>
    <t>https://doi.org/10.17190/AMF/2469469</t>
  </si>
  <si>
    <t>CH4, CO2, FC, FCH4, H, H2O, LE, MO_LENGTH, NEE, NETRAD, P, PA, PPFD_IN, RH, SC, SCH4, SH, SLE, SWC, SW_IN, TA, TAU, TS, U_SIGMA, USTAR, VPD, V_SIGMA, WD, WS, W_SIGMA, WTD, ZL</t>
  </si>
  <si>
    <t>US-Rwe</t>
  </si>
  <si>
    <t>RCEW Reynolds Mountain East</t>
  </si>
  <si>
    <t>Michele L. Reba (michele.reba@usda.gov)</t>
  </si>
  <si>
    <t>2003, 2004, 2005, 2006, 2007</t>
  </si>
  <si>
    <t>https://doi.org/10.17190/AMF/1617721</t>
  </si>
  <si>
    <t>https://doi.org/10.17190/AMF/1871143</t>
  </si>
  <si>
    <t>CO2, D_SNOW, FC, FETCH_70, FETCH_90, FETCH_FILTER, FETCH_MAX, G, H, H2O, LE, LW_IN, LW_OUT, MO_LENGTH, NETRAD, PA, RH, SC, SLE, SWC, SW_IN, SW_OUT, TA, TAU, TS, T_SONIC, T_SONIC_SIGMA, U_SIGMA, USTAR, V_SIGMA, WD, WS, W_SIGMA, ZL</t>
  </si>
  <si>
    <t>RCEW Upper Sheep Prescibed Fire</t>
  </si>
  <si>
    <t>https://doi.org/10.17190/AMF/1617724</t>
  </si>
  <si>
    <t>https://doi.org/10.17190/AMF/1881591</t>
  </si>
  <si>
    <t>Reynolds Creek Wyoming big sagebrush</t>
  </si>
  <si>
    <t>https://doi.org/10.17190/AMF/1375201</t>
  </si>
  <si>
    <t>https://doi.org/10.17190/AMF/1881592</t>
  </si>
  <si>
    <t>US-Sag</t>
  </si>
  <si>
    <t>Sag River</t>
  </si>
  <si>
    <t>https://doi.org/10.17190/AMF/1987604</t>
  </si>
  <si>
    <t>CH4, CO2, FC, FCH4, FO3, G, GPP, H, LE, NEE, NETRAD, O3, PA, PPFD_IN, P_RAIN, RECO, RH, SW_IN, SW_OUT, TA, T_CANOPY, TS, USTAR, WD, WS</t>
  </si>
  <si>
    <t>US-SB1</t>
  </si>
  <si>
    <t>Sweet Briar Land-Atmosphere Research Station</t>
  </si>
  <si>
    <t>US-SB2</t>
  </si>
  <si>
    <t>Sweet Briar Grass</t>
  </si>
  <si>
    <t>US-SB3</t>
  </si>
  <si>
    <t>Sweet Briar Clearcut</t>
  </si>
  <si>
    <t>US-SCc</t>
  </si>
  <si>
    <t>Southern California Climate Gradient - Desert Chaparral</t>
  </si>
  <si>
    <t>Mike Goulden (mgoulden@uci.edu)</t>
  </si>
  <si>
    <t>US-SCd</t>
  </si>
  <si>
    <t>Southern California Climate Gradient - Sonoran Desert</t>
  </si>
  <si>
    <t>2006, 2007, 2008, 2009, 2010, 2011, 2012, 2013, 2014</t>
  </si>
  <si>
    <t>https://doi.org/10.17190/AMF/1419505</t>
  </si>
  <si>
    <t>US-SCf</t>
  </si>
  <si>
    <t>Southern California Climate Gradient - Oak/Pine Forest</t>
  </si>
  <si>
    <t>2006, 2007, 2008, 2009, 2010, 2011, 2012, 2013, 2014, 2015</t>
  </si>
  <si>
    <t>https://doi.org/10.17190/AMF/1419503</t>
  </si>
  <si>
    <t>US-SCg</t>
  </si>
  <si>
    <t>Southern California Climate Gradient - Grassland</t>
  </si>
  <si>
    <t>2006, 2007, 2008, 2009, 2010, 2011, 2012, 2013, 2014, 2015, 2016</t>
  </si>
  <si>
    <t>https://doi.org/10.17190/AMF/1419502</t>
  </si>
  <si>
    <t>US-SCs</t>
  </si>
  <si>
    <t>Southern California Climate Gradient - Coastal Sage</t>
  </si>
  <si>
    <t>https://doi.org/10.17190/AMF/1419501</t>
  </si>
  <si>
    <t>US-SCw</t>
  </si>
  <si>
    <t>Southern California Climate Gradient - Pinyon/Juniper Woodland</t>
  </si>
  <si>
    <t>https://doi.org/10.17190/AMF/1419504</t>
  </si>
  <si>
    <t>US-SdH</t>
  </si>
  <si>
    <t>Nebraska SandHills Dry Valley</t>
  </si>
  <si>
    <t>Tim J. Arkebauer (tarkebauer1@unl.edu)</t>
  </si>
  <si>
    <t>https://doi.org/10.17190/AMF/1246136</t>
  </si>
  <si>
    <t>US-SDU</t>
  </si>
  <si>
    <t>South Denver Urban Tower</t>
  </si>
  <si>
    <t>Sevilleta grassland</t>
  </si>
  <si>
    <t>https://doi.org/10.17190/AMF/1246124</t>
  </si>
  <si>
    <t>2007, 2008, 2009, 2010, 2011, 2012, 2013, 2014, 2015, 2016, 2017, 2018, 2019, 2020, 2021</t>
  </si>
  <si>
    <t>https://doi.org/10.17190/AMF/1984572</t>
  </si>
  <si>
    <t>Sevilleta shrubland</t>
  </si>
  <si>
    <t>https://doi.org/10.17190/AMF/1246125</t>
  </si>
  <si>
    <t>https://doi.org/10.17190/AMF/1984573</t>
  </si>
  <si>
    <t>US-SFP</t>
  </si>
  <si>
    <t>Sioux Falls Portable</t>
  </si>
  <si>
    <t>2007, 2008, 2009</t>
  </si>
  <si>
    <t>https://doi.org/10.17190/AMF/1246126</t>
  </si>
  <si>
    <t>FC, G, H, LE, LW_IN, LW_OUT, NETRAD, P, PA, PPFD_IN, PPFD_OUT, RH, SWC, SW_IN, SW_OUT, TA, TS, USTAR, VPD, WD, WS</t>
  </si>
  <si>
    <t>US-SHC</t>
  </si>
  <si>
    <t>Sagehen Creek Field Station</t>
  </si>
  <si>
    <t>Sebastian Wolf (sewolf@ethz.ch)</t>
  </si>
  <si>
    <t>US-Shd</t>
  </si>
  <si>
    <t>Shidler- Oklahoma</t>
  </si>
  <si>
    <t>https://doi.org/10.17190/AMF/1246095</t>
  </si>
  <si>
    <t>US-SHS</t>
  </si>
  <si>
    <t>Secaucus High School Site</t>
  </si>
  <si>
    <t>US-Si1</t>
  </si>
  <si>
    <t>Staten Island Fallow</t>
  </si>
  <si>
    <t>US-Si2</t>
  </si>
  <si>
    <t>Staten Island Flooded</t>
  </si>
  <si>
    <t>US-SJ1</t>
  </si>
  <si>
    <t>San Joaquin (Freshwater Marsh Tower 1)</t>
  </si>
  <si>
    <t>US-SJ2</t>
  </si>
  <si>
    <t>San Joaquin (Freshwater Marsh Tower 2)</t>
  </si>
  <si>
    <t>US-Skr</t>
  </si>
  <si>
    <t>Shark River Slough (Tower SRS-6)  Everglades</t>
  </si>
  <si>
    <t>Tiffany Troxler (troxlert@fiu.edu)</t>
  </si>
  <si>
    <t>2004, 2005, 2006, 2007, 2008, 2009, 2010, 2011, 2012, 2013, 2014, 2015, 2016, 2017, 2018, 2019, 2020, 2021, 2022, 2023</t>
  </si>
  <si>
    <t>https://doi.org/10.17190/AMF/1246105</t>
  </si>
  <si>
    <t>CH4, CH4_MIXING_RATIO, CO2, CO2_MIXING_RATIO, FC, FCH4, FCH4_SSITC_TEST, FC_SSITC_TEST, FETCH_70, FETCH_90, FETCH_MAX, G, H, H2O, H2O_MIXING_RATIO, H_SSITC_TEST, LE, LE_SSITC_TEST, LW_IN, LW_OUT, MO_LENGTH, NEE, NETRAD, P, PA, RH, SC, SCH4, SH, SLE, SW_IN, SW_OUT, TA, TAU, TAU_SSITC_TEST, TS, T_SONIC, USTAR, VPD, WD, WS, WS_MAX, ZL</t>
  </si>
  <si>
    <t>US-Slt</t>
  </si>
  <si>
    <t>Silas Little- New Jersey</t>
  </si>
  <si>
    <t>https://doi.org/10.17190/AMF/1246096</t>
  </si>
  <si>
    <t>US-SM1</t>
  </si>
  <si>
    <t>Texas SmartFarm Project</t>
  </si>
  <si>
    <t>US-Snd</t>
  </si>
  <si>
    <t>Sherman Island</t>
  </si>
  <si>
    <t>2007, 2008, 2009, 2010, 2011, 2012, 2013, 2014</t>
  </si>
  <si>
    <t>https://doi.org/10.17190/AMF/1246094</t>
  </si>
  <si>
    <t>Sherman Island Restored Wetland</t>
  </si>
  <si>
    <t>https://doi.org/10.17190/AMF/1418684</t>
  </si>
  <si>
    <t>https://doi.org/10.17190/AMF/1871144</t>
  </si>
  <si>
    <t>CH4, CO2, FC, FCH4, FCH4_SSITC_TEST, FC_SSITC_TEST, G, GPP, H, H2O, H_SSITC_TEST, LE, LE_SSITC_TEST, LW_IN, LW_OUT, MO_LENGTH, NETRAD, P, PA, PPFD_IN, PPFD_OUT, RECO, RH, SW_IN, SW_OUT, TA, TAU, TAU_SSITC_TEST, TS, T_SONIC, T_SONIC_SIGMA, USTAR, VPD, V_SIGMA, WD, WS, W_SIGMA, WTD, ZL</t>
  </si>
  <si>
    <t>Sherman Barn</t>
  </si>
  <si>
    <t>https://doi.org/10.17190/AMF/1579718</t>
  </si>
  <si>
    <t>https://doi.org/10.17190/AMF/1854371</t>
  </si>
  <si>
    <t>CH4, CO2, FC, FCH4, FCH4_SSITC_TEST, FC_SSITC_TEST, G, GPP, H, H2O, H_SSITC_TEST, LE, LE_SSITC_TEST, LW_IN, LW_OUT, MO_LENGTH, NETRAD, P, PA, PPFD_IN, PPFD_OUT, RECO, RH, SPEC_NIR_IN, SPEC_NIR_OUT, SPEC_PRI_REF_IN, SPEC_PRI_REF_OUT, SPEC_PRI_TGT_IN, SPEC_PRI_TGT_OUT, SPEC_RED_IN, SPEC_RED_OUT, SWC, SW_IN, SW_OUT, TA, TAU, TAU_SSITC_TEST, TS, T_SONIC, T_SONIC_SIGMA, USTAR, VPD, V_SIGMA, WD, WS, W_SIGMA, ZL</t>
  </si>
  <si>
    <t>US-SO2</t>
  </si>
  <si>
    <t>Sky Oaks- Old Stand</t>
  </si>
  <si>
    <t>1997, 1998, 1999, 2000, 2001, 2002, 2003, 2004, 2005, 2006</t>
  </si>
  <si>
    <t>https://doi.org/10.17190/AMF/1246097</t>
  </si>
  <si>
    <t>US-SO3</t>
  </si>
  <si>
    <t>Sky Oaks- Young Stand</t>
  </si>
  <si>
    <t>https://doi.org/10.17190/AMF/1246098</t>
  </si>
  <si>
    <t>US-SO4</t>
  </si>
  <si>
    <t>Sky Oaks- New Stand</t>
  </si>
  <si>
    <t>https://doi.org/10.17190/AMF/1246099</t>
  </si>
  <si>
    <t>US-SP1</t>
  </si>
  <si>
    <t>Slashpine-Austin Cary- 65yrs nat regen</t>
  </si>
  <si>
    <t>Tim Martin (tamartin@ufl.edu)</t>
  </si>
  <si>
    <t>2000, 2001, 2002, 2003, 2004, 2005, 2006, 2007, 2008, 2009, 2010, 2011, 2012, 2013, 2014, 2015, 2016, 2017, 2018, 2019, 2020</t>
  </si>
  <si>
    <t>https://doi.org/10.17190/AMF/1246100</t>
  </si>
  <si>
    <t>https://doi.org/10.17190/AMF/2469470</t>
  </si>
  <si>
    <t>CO2, CO2_MIXING_RATIO, CO2_SIGMA, FC, FC_SSITC_TEST, FETCH_70, FETCH_80, FETCH_90, FETCH_MAX, G, H, H2O, H2O_MIXING_RATIO, H2O_SIGMA, H_SSITC_TEST, LE, LE_SSITC_TEST, LW_IN, LW_OUT, MO_LENGTH, NETRAD, PA, PPFD_IN, PPFD_OUT, P_RAIN, RH, SC, SH, SLE, SWC, SW_IN, SW_OUT, TA, TAU, TAU_SSITC_TEST, TS, T_SONIC, T_SONIC_SIGMA, U_SIGMA, USTAR, VPD, V_SIGMA, WD, WS, W_SIGMA, WS_MAX, ZL</t>
  </si>
  <si>
    <t>US-SP2</t>
  </si>
  <si>
    <t>Slashpine-Mize-clearcut-3yr,regen</t>
  </si>
  <si>
    <t>1999, 2000, 2001, 2002, 2003, 2004, 2005, 2006, 2007, 2008</t>
  </si>
  <si>
    <t>https://doi.org/10.17190/AMF/1246101</t>
  </si>
  <si>
    <t>US-SP3</t>
  </si>
  <si>
    <t>Slashpine-Donaldson-mid-rot- 12yrs</t>
  </si>
  <si>
    <t>https://doi.org/10.17190/AMF/1246102</t>
  </si>
  <si>
    <t>US-SP4</t>
  </si>
  <si>
    <t>Slashpine-Rayonier-mid-rot- 12yrs</t>
  </si>
  <si>
    <t>https://doi.org/10.17190/AMF/1246103</t>
  </si>
  <si>
    <t>FC, G, H, LE, NEE, NETRAD, P, PPFD_IN, RH, SC, SW_IN, TA, USTAR, VPD, WS</t>
  </si>
  <si>
    <t>US-SRC</t>
  </si>
  <si>
    <t>Santa Rita Creosote</t>
  </si>
  <si>
    <t>Shirley (Kurc) Papuga (shirley.papuga@gmail.com)</t>
  </si>
  <si>
    <t>2008, 2009, 2010, 2011, 2012, 2013, 2014</t>
  </si>
  <si>
    <t>https://doi.org/10.17190/AMF/1246127</t>
  </si>
  <si>
    <t>https://doi.org/10.17190/AMF/1871145</t>
  </si>
  <si>
    <t>CO2, FC, G, H, H2O, LE, LW_IN, LW_OUT, NETRAD, P, PA, RH, SWC, SW_IN, SW_OUT, TA, TS, USTAR, VPD, WD, WS</t>
  </si>
  <si>
    <t>Santa Rita Grassland</t>
  </si>
  <si>
    <t>https://doi.org/10.17190/AMF/1246154</t>
  </si>
  <si>
    <t>https://doi.org/10.17190/AMF/2204877</t>
  </si>
  <si>
    <t>CO2, FC, G, H, H2O, LE, LW_IN, LW_OUT, NETRAD, P, PA, PPFD_IN, PPFD_OUT, RH, SWC, SW_IN, SW_OUT, TA, TS, T_SONIC, USTAR, WD, WS</t>
  </si>
  <si>
    <t>US-SRM</t>
  </si>
  <si>
    <t>Santa Rita Mesquite</t>
  </si>
  <si>
    <t>https://doi.org/10.17190/AMF/1246104</t>
  </si>
  <si>
    <t>https://doi.org/10.17190/AMF/2475756</t>
  </si>
  <si>
    <t>CO2, FC, G, H, H2O, LE, LW_IN, LW_OUT, NETRAD, P, PA, PPFD_IN, PPFD_OUT, RH, SWC, SW_IN, SW_OUT, TA, T_CANOPY, TS, T_SONIC, USTAR, WD, WS</t>
  </si>
  <si>
    <t>US-Srr</t>
  </si>
  <si>
    <t>Suisun marsh - Rush Ranch</t>
  </si>
  <si>
    <t>2014, 2015, 2016, 2017</t>
  </si>
  <si>
    <t>https://doi.org/10.17190/AMF/1418685</t>
  </si>
  <si>
    <t>https://doi.org/10.17190/AMF/2229389</t>
  </si>
  <si>
    <t>CH4, CO2, FC, FCH4, FCH4_SSITC_TEST, FC_SSITC_TEST, G, GPP, H, H2O, H_SSITC_TEST, LE, LE_SSITC_TEST, LW_IN, LW_OUT, MO_LENGTH, NETRAD, PA, PPFD_IN, PPFD_OUT, RECO, RH, SW_IN, SW_OUT, TA, TAU, TAU_SSITC_TEST, TS, T_SONIC, T_SONIC_SIGMA, USTAR, VPD, V_SIGMA, WD, WS, W_SIGMA, WTD, ZL</t>
  </si>
  <si>
    <t>Santa Rita Savanna</t>
  </si>
  <si>
    <t>2011, 2012, 2013, 2014, 2015, 2016, 2017, 2018</t>
  </si>
  <si>
    <t>https://doi.org/10.17190/AMF/1660351</t>
  </si>
  <si>
    <t>https://doi.org/10.17190/AMF/2204878</t>
  </si>
  <si>
    <t>US-SSH</t>
  </si>
  <si>
    <t>Susquehanna Shale Hills Critical Zone Observatory</t>
  </si>
  <si>
    <t>https://doi.org/10.17190/AMF/1880916</t>
  </si>
  <si>
    <t>https://doi.org/10.17190/AMF/2469471</t>
  </si>
  <si>
    <t>CO2, FC, H, H2O, LE, LW_IN, LW_OUT, NETRAD, P, PA, RH, SWC, SW_IN, SW_OUT, TA, TS, USTAR, WD, WS, WTD</t>
  </si>
  <si>
    <t>US-Sta</t>
  </si>
  <si>
    <t>Saratoga</t>
  </si>
  <si>
    <t>Elise Pendall (e.pendall@westernsydney.edu.au)</t>
  </si>
  <si>
    <t>https://doi.org/10.17190/AMF/1246831</t>
  </si>
  <si>
    <t>CO2, FC, G, H, H2O, LE, PA, PPFD_IN, RH, SWC, TA, TS, USTAR, VPD, WD, WS</t>
  </si>
  <si>
    <t>US-StJ</t>
  </si>
  <si>
    <t>St Jones Reserve</t>
  </si>
  <si>
    <t>Rodrigo Vargas (rvargas@udel.edu)</t>
  </si>
  <si>
    <t>https://doi.org/10.17190/AMF/1480316</t>
  </si>
  <si>
    <t>https://doi.org/10.17190/AMF/2229390</t>
  </si>
  <si>
    <t>CH4, CO2, FC, FCH4, FCH4_SSITC_TEST, FC_SSITC_TEST, FETCH_70, FETCH_90, FETCH_FILTER, FETCH_MAX, H, H2O, H_SSITC_TEST, LE, LE_SSITC_TEST, MO_LENGTH, NDVI, NEE, NETRAD, P, PA, PPFD_IN, PPFD_OUT, PRI, RH, SC, SCH4, SH, SLE, SPEC_NIR_IN, SPEC_NIR_REFL, SPEC_PRI_REF_IN, SPEC_PRI_REF_OUT, SPEC_PRI_TGT_IN, SPEC_PRI_TGT_OUT, SPEC_RED_IN, SPEC_RED_OUT, SWC, TA, TAU, TAU_SSITC_TEST, TS, T_SONIC, U_SIGMA, USTAR, VPD, V_SIGMA, WD, WS, W_SIGMA, WS_MAX, WTD, ZL</t>
  </si>
  <si>
    <t>US-StS</t>
  </si>
  <si>
    <t>Strawberry Swamp</t>
  </si>
  <si>
    <t>Scott Allen (scottallen1@gmail.com)</t>
  </si>
  <si>
    <t>US-SuM</t>
  </si>
  <si>
    <t>Maui Sugarcane Middle</t>
  </si>
  <si>
    <t>Ray Anderson (ray.anderson@ars.usda.gov)</t>
  </si>
  <si>
    <t>https://doi.org/10.17190/AMF/1246158</t>
  </si>
  <si>
    <t>CO2, FC, G, H, H2O, LE, NEE, NETRAD, RH, SC, SH, SLE, TA, TS, USTAR, VPD, WD, WS, ZL</t>
  </si>
  <si>
    <t>US-SuS</t>
  </si>
  <si>
    <t>Maui Sugarcane Lee/Sheltered</t>
  </si>
  <si>
    <t>https://doi.org/10.17190/AMF/1246159</t>
  </si>
  <si>
    <t>US-SuW</t>
  </si>
  <si>
    <t>Maui Sugarcane Windy</t>
  </si>
  <si>
    <t>https://doi.org/10.17190/AMF/1246157</t>
  </si>
  <si>
    <t>US-SVC</t>
  </si>
  <si>
    <t>Savannah River Control</t>
  </si>
  <si>
    <t>US-SVP</t>
  </si>
  <si>
    <t>Savannah River Prescribe Fire</t>
  </si>
  <si>
    <t>Sylvania Wilderness Area</t>
  </si>
  <si>
    <t>https://doi.org/10.17190/AMF/1246106</t>
  </si>
  <si>
    <t>2001, 2002, 2003, 2004, 2005, 2006, 2007, 2008, 2009, 2010, 2011, 2012, 2013, 2014, 2015, 2016, 2017, 2018, 2019, 2020, 2021, 2022, 2023</t>
  </si>
  <si>
    <t>https://doi.org/10.17190/AMF/2204879</t>
  </si>
  <si>
    <t>CO2, FC, FETCH_90, FETCH_MAX, G, GPP, H, H2O, LE, LW_IN, LW_OUT, NEE, NETRAD, P, PA, PPFD_DIF, PPFD_IN, RECO, RH, SC, SH, SLE, SWC, SW_IN, SW_OUT, TA, THROUGHFALL, TS, USTAR, VPD, WD, WS, ZL</t>
  </si>
  <si>
    <t>US-SZ1</t>
  </si>
  <si>
    <t>St. John, WA On-farm site Zone 1</t>
  </si>
  <si>
    <t>US-SZ2</t>
  </si>
  <si>
    <t>St. John, WA On-farm site Zone 2</t>
  </si>
  <si>
    <t>US-SZ3</t>
  </si>
  <si>
    <t>St. John, WA On-farm site Zone 3</t>
  </si>
  <si>
    <t>US-TaS</t>
  </si>
  <si>
    <t>Taylor Slough/Panhandle</t>
  </si>
  <si>
    <t>https://doi.org/10.17190/AMF/2331383</t>
  </si>
  <si>
    <t>CO2, CO2_MIXING_RATIO, FC, FC_SSITC_TEST, FETCH_70, FETCH_90, FETCH_MAX, H, H2O, H2O_MIXING_RATIO, H_SSITC_TEST, LE, LE_SSITC_TEST, LW_IN, LW_OUT, MO_LENGTH, PA, RH, SC, SH, SLE, SW_IN, SW_OUT, TA, TAU, TAU_SSITC_TEST, TS, T_SONIC, USTAR, VPD, WD, WS, WS_MAX, ZL</t>
  </si>
  <si>
    <t>US-TCS</t>
  </si>
  <si>
    <t>Tall Cypress Swamp</t>
  </si>
  <si>
    <t>US-TEF</t>
  </si>
  <si>
    <t>Tenderfoot Creek Experimental Forest</t>
  </si>
  <si>
    <t>https://doi.org/10.17190/AMF/2315770</t>
  </si>
  <si>
    <t>ALB, CO2_SIGMA, D_SNOW, FC, G, H, H2O_SIGMA, LE, LW_IN, LW_OUT, NETRAD, RH, SWC, SW_IN, SW_OUT, TA, TAU, T_SONIC, U_SIGMA, USTAR, VPD, V_SIGMA, WD, WS, W_SIGMA, ZL</t>
  </si>
  <si>
    <t>US-TFF</t>
  </si>
  <si>
    <t>Thompson Farm Forest</t>
  </si>
  <si>
    <t>US-TLR</t>
  </si>
  <si>
    <t>Timberlake Observatory for Wetland Restoration (TOWeR)</t>
  </si>
  <si>
    <t>Camilo Rey-Sanchez (areysan@ncsu.edu)</t>
  </si>
  <si>
    <t>Tonzi Ranch</t>
  </si>
  <si>
    <t>https://doi.org/10.17190/AMF/1245971</t>
  </si>
  <si>
    <t>https://doi.org/10.17190/AMF/2204880</t>
  </si>
  <si>
    <t>CO2, CO2_SIGMA, COND_WATER, FC, G, GPP, H, H2O, H2O_SIGMA, LE, LW_IN, LW_OUT, MO_LENGTH, NEE, NETRAD, P, PA, PPFD_DIF, PPFD_DIR, PPFD_IN, PPFD_OUT, RECO, RH, SC, SWC, SW_IN, SW_OUT, SWP, TA, TAU, TS, T_SONIC, T_SONIC_SIGMA, TW, U_SIGMA, USTAR, VPD, V_SIGMA, WD, WS, W_SIGMA, WTD, ZL</t>
  </si>
  <si>
    <t>US-TrB</t>
  </si>
  <si>
    <t>Trout Bog</t>
  </si>
  <si>
    <t>https://doi.org/10.17190/AMF/1804493</t>
  </si>
  <si>
    <t>ALB, CH4_MIXING_RATIO, CO2, CO2_MIXING_RATIO, CO2_SIGMA, FC, FCH4, FCH4_SSITC_TEST, FC_SSITC_TEST, FETCH_70, FETCH_90, FETCH_MAX, H, H2O, H2O_MIXING_RATIO, H2O_SIGMA, LE, LE_SSITC_TEST, LW_IN, LW_OUT, NETRAD, SW_IN, SW_OUT, TAU, TAU_SSITC_TEST, T_SONIC, T_SONIC_SIGMA, U_SIGMA, USTAR, V_SIGMA, WS, W_SIGMA, ZL</t>
  </si>
  <si>
    <t>US-TrS</t>
  </si>
  <si>
    <t>Trout Lake Area South Sparkling Bog</t>
  </si>
  <si>
    <t>https://doi.org/10.17190/AMF/1825939</t>
  </si>
  <si>
    <t>US-Tur</t>
  </si>
  <si>
    <t>Turner Ranch</t>
  </si>
  <si>
    <t>https://doi.org/10.17190/AMF/1825940</t>
  </si>
  <si>
    <t>ALB, CO2, CO2_SIGMA, FC, FCH4, FCH4_SSITC_TEST, FC_SSITC_TEST, G, H, H2O, H2O_SIGMA, LE, LE_SSITC_TEST, LW_IN, LW_OUT, NETRAD, RH, SWC, SW_IN, SW_OUT, TA, TAU, TAU_SSITC_TEST, TS, T_SONIC, T_SONIC_SIGMA, U_SIGMA, USTAR, VPD, V_SIGMA, WD, WS, W_SIGMA, ZL</t>
  </si>
  <si>
    <t>Twitchell Wetland West Pond</t>
  </si>
  <si>
    <t>https://doi.org/10.17190/AMF/1246147</t>
  </si>
  <si>
    <t>https://doi.org/10.17190/AMF/1832165</t>
  </si>
  <si>
    <t>CH4, CO2, FC, FCH4, FCH4_SSITC_TEST, FC_SSITC_TEST, GPP, H, H2O, H_SSITC_TEST, LE, LE_SSITC_TEST, LW_IN, LW_OUT, MO_LENGTH, NETRAD, PA, PPFD_IN, PPFD_OUT, RECO, RH, SPEC_NIR_IN, SPEC_NIR_OUT, SPEC_RED_IN, SPEC_RED_OUT, SW_IN, SW_OUT, TA, TAU, TAU_SSITC_TEST, TS, T_SONIC, T_SONIC_SIGMA, USTAR, VPD, V_SIGMA, WD, WS, W_SIGMA, WTD, ZL</t>
  </si>
  <si>
    <t>US-Tw2</t>
  </si>
  <si>
    <t>Twitchell Corn</t>
  </si>
  <si>
    <t>https://doi.org/10.17190/AMF/1246148</t>
  </si>
  <si>
    <t>https://doi.org/10.17190/AMF/1881593</t>
  </si>
  <si>
    <t>CO2, FC, G, H, H2O, LE, LW_IN, LW_OUT, NEE, NETRAD, PA, PPFD_IN, PPFD_OUT, RH, SWC, SW_IN, SW_OUT, TA, TS, USTAR, VPD, WD, WS, ZL</t>
  </si>
  <si>
    <t>Twitchell Alfalfa</t>
  </si>
  <si>
    <t>2013, 2014, 2015, 2016, 2017, 2018</t>
  </si>
  <si>
    <t>https://doi.org/10.17190/AMF/1246149</t>
  </si>
  <si>
    <t>https://doi.org/10.17190/AMF/1881594</t>
  </si>
  <si>
    <t>CH4, CO2, FC, FCH4, FCH4_SSITC_TEST, FC_SSITC_TEST, G, GPP, H, H2O, H_SSITC_TEST, LE, LE_SSITC_TEST, LW_IN, LW_OUT, MO_LENGTH, NETRAD, P, PA, PPFD_DIF, PPFD_IN, PPFD_OUT, RECO, RH, SWC, SW_IN, SW_OUT, TA, TAU, TAU_SSITC_TEST, TS, T_SONIC, T_SONIC_SIGMA, USTAR, VPD, V_SIGMA, WD, WS, W_SIGMA, ZL</t>
  </si>
  <si>
    <t>Twitchell East End Wetland</t>
  </si>
  <si>
    <t>2013, 2014, 2015, 2016, 2017, 2018, 2019, 2020, 2021, 2022, 2023</t>
  </si>
  <si>
    <t>https://doi.org/10.17190/AMF/1246151</t>
  </si>
  <si>
    <t>https://doi.org/10.17190/AMF/2204881</t>
  </si>
  <si>
    <t>CH4, CO2, FC, FCH4, FCH4_SSITC_TEST, FC_SSITC_TEST, G, GPP, H, H2O, H_SSITC_TEST, LE, LE_SSITC_TEST, LW_IN, LW_OUT, MO_LENGTH, NETRAD, P, PA, PPFD_IN, PPFD_OUT, RECO, RH, SPEC_NIR_IN, SPEC_NIR_OUT, SPEC_RED_IN, SPEC_RED_OUT, SW_IN, SW_OUT, TA, TAU, TAU_SSITC_TEST, TS, T_SONIC, T_SONIC_SIGMA, USTAR, VPD, V_SIGMA, WD, WS, W_SIGMA, WTD, ZL</t>
  </si>
  <si>
    <t>East Pond Wetland</t>
  </si>
  <si>
    <t>https://doi.org/10.17190/AMF/1543380</t>
  </si>
  <si>
    <t>https://doi.org/10.17190/AMF/1881595</t>
  </si>
  <si>
    <t>US-Twt</t>
  </si>
  <si>
    <t>Twitchell Island</t>
  </si>
  <si>
    <t>https://doi.org/10.17190/AMF/1246140</t>
  </si>
  <si>
    <t>CH4, CO2, FC, FCH4, FCH4_SSITC_TEST, FC_SSITC_TEST, G, GPP, H, H2O, H_SSITC_TEST, LE, LE_SSITC_TEST, MO_LENGTH, NETRAD, P, PA, PPFD_IN, PPFD_OUT, RECO, RH, SW_IN, TA, TAU, TAU_SSITC_TEST, TS, T_SONIC, T_SONIC_SIGMA, USTAR, VPD, V_SIGMA, WD, WS, W_SIGMA, WTD, ZL</t>
  </si>
  <si>
    <t>US-Tx1</t>
  </si>
  <si>
    <t>Stiles Farm Prairie</t>
  </si>
  <si>
    <t>Binayak Mohanty (bmohanty@tamu.edu)</t>
  </si>
  <si>
    <t>US-Tx2</t>
  </si>
  <si>
    <t>Riesel Farm Native Prairie</t>
  </si>
  <si>
    <t>US-Tx3</t>
  </si>
  <si>
    <t>Riesel Farm Aspirational Agriculture</t>
  </si>
  <si>
    <t>US-Tx4</t>
  </si>
  <si>
    <t>Riesel Farm Traditional Agriculture</t>
  </si>
  <si>
    <t>US-Tx5</t>
  </si>
  <si>
    <t>Texas A&amp;M University Farm</t>
  </si>
  <si>
    <t>US-Tx6</t>
  </si>
  <si>
    <t>La Copita Grassland - Savanna</t>
  </si>
  <si>
    <t>Cliff Lamb (gclamb@tamu.edu)</t>
  </si>
  <si>
    <t>US-Tx7</t>
  </si>
  <si>
    <t>La Copita Shrubland - Savanna</t>
  </si>
  <si>
    <t>US-Tx8</t>
  </si>
  <si>
    <t>Danciger Lowland Hardwood Forest</t>
  </si>
  <si>
    <t>US-Tx9</t>
  </si>
  <si>
    <t>Sargent Unit Salt Marsh</t>
  </si>
  <si>
    <t>US-Uaf</t>
  </si>
  <si>
    <t>University of Alaska, Fairbanks</t>
  </si>
  <si>
    <t>https://doi.org/10.17190/AMF/1480322</t>
  </si>
  <si>
    <t>CH4, CO2, D_SNOW, FC, FCH4, FETCH_80, G, GPP, H, LE, LW_IN, LW_OUT, NEE, NETRAD, P, PA, PPFD_BC_IN, PPFD_IN, PPFD_OUT, P_RAIN, RECO, RH, SC, SCH4, SWC, SW_IN, SW_OUT, TA, T_BOLE, T_CANOPY, TS, T_SONIC_SIGMA, TW, U_SIGMA, USTAR, V_SIGMA, WD, WS, W_SIGMA, WTD</t>
  </si>
  <si>
    <t>US-UC1</t>
  </si>
  <si>
    <t>LTAR UCB (Upper Chesapeake Bay) EC1</t>
  </si>
  <si>
    <t>https://doi.org/10.17190/AMF/1865482</t>
  </si>
  <si>
    <t>https://doi.org/10.17190/AMF/2469472</t>
  </si>
  <si>
    <t>US-UC2</t>
  </si>
  <si>
    <t>LTAR UCB (Upper Chesapeake Bay) EC2</t>
  </si>
  <si>
    <t>https://doi.org/10.17190/AMF/1865483</t>
  </si>
  <si>
    <t>https://doi.org/10.17190/AMF/2469473</t>
  </si>
  <si>
    <t>US-UG1</t>
  </si>
  <si>
    <t>East River Riparian</t>
  </si>
  <si>
    <t>Dave Gochis (gochis@ucar.edu)</t>
  </si>
  <si>
    <t>US-UiA</t>
  </si>
  <si>
    <t>University of Illinois Switchgrass</t>
  </si>
  <si>
    <t>Carl J Bernacchi (bernacch@illinois.edu)</t>
  </si>
  <si>
    <t>https://doi.org/10.17190/AMF/1617725</t>
  </si>
  <si>
    <t>ALB, CO2, FC, FC_SSITC_TEST, FETCH_70, FETCH_90, FETCH_MAX, G, H, H2O, H_SSITC_TEST, LE, LE_SSITC_TEST, LW_IN, LW_OUT, MO_LENGTH, NETRAD, PA, PPFD_IN, PPFD_OUT, RH, SC, SH, SLE, SWC, SW_IN, SW_OUT, TA, TAU, TAU_SSITC_TEST, T_CANOPY, TS, T_SONIC, U_SIGMA, USTAR, VPD, V_SIGMA, WD, WS, W_SIGMA, WS_MAX, ZL</t>
  </si>
  <si>
    <t>US-UiB</t>
  </si>
  <si>
    <t>University of Illinois Miscanthus</t>
  </si>
  <si>
    <t>2008, 2009, 2010, 2011, 2012, 2013, 2014, 2015, 2016, 2017, 2018, 2019, 2020, 2021</t>
  </si>
  <si>
    <t>https://doi.org/10.17190/AMF/1846664</t>
  </si>
  <si>
    <t>US-UiC</t>
  </si>
  <si>
    <t>University of Illinois Maize-Soy</t>
  </si>
  <si>
    <t>https://doi.org/10.17190/AMF/1846665</t>
  </si>
  <si>
    <t>US-UiD</t>
  </si>
  <si>
    <t>University of Illinois Restored Native Prairie</t>
  </si>
  <si>
    <t>https://doi.org/10.17190/AMF/1987605</t>
  </si>
  <si>
    <t>US-UiE</t>
  </si>
  <si>
    <t>University of Illinois Sorghum-Soy</t>
  </si>
  <si>
    <t>US-UiF</t>
  </si>
  <si>
    <t>University of Illinois Miscanthus 2</t>
  </si>
  <si>
    <t>US-UiG</t>
  </si>
  <si>
    <t>University of Illinois Maize-Soy 2</t>
  </si>
  <si>
    <t>US-ULM</t>
  </si>
  <si>
    <t>ULM Flux Tower</t>
  </si>
  <si>
    <t>Joydeep Bhattacharjee (joydeep@ulm.edu)</t>
  </si>
  <si>
    <t>US-UM3</t>
  </si>
  <si>
    <t>Douglas Lake</t>
  </si>
  <si>
    <t>https://doi.org/10.17190/AMF/1480315</t>
  </si>
  <si>
    <t>https://doi.org/10.17190/AMF/1881596</t>
  </si>
  <si>
    <t>CO2, FC, GPP, H, H2O, LE, LW_IN, LW_OUT, MO_LENGTH, NEE, PA, RECO, RH, SC, SW_IN, SW_OUT, TA, USTAR, VPD, WD, WS, WTD</t>
  </si>
  <si>
    <t>Univ. of Mich. Biological Station</t>
  </si>
  <si>
    <t>https://doi.org/10.17190/AMF/1246107</t>
  </si>
  <si>
    <t>https://doi.org/10.17190/AMF/2204882</t>
  </si>
  <si>
    <t>UMBS Disturbance</t>
  </si>
  <si>
    <t>https://doi.org/10.17190/AMF/1246134</t>
  </si>
  <si>
    <t>https://doi.org/10.17190/AMF/1881597</t>
  </si>
  <si>
    <t>CO2, FC, GPP, H, H2O, LE, LW_IN, LW_OUT, NEE, NETRAD, PA, PPFD_DIF, PPFD_IN, RECO, RH, SC, SWC, SW_IN, SW_OUT, TA, TS, USTAR, VPD, WD, WS</t>
  </si>
  <si>
    <t>US-Upa</t>
  </si>
  <si>
    <t>Upad</t>
  </si>
  <si>
    <t>https://doi.org/10.17190/AMF/1246108</t>
  </si>
  <si>
    <t>FC, G, H, LE, NETRAD, PPFD_IN, SW_IN, TA, TS, USTAR, WD, WS</t>
  </si>
  <si>
    <t>US-UTB</t>
  </si>
  <si>
    <t>UFLUX Bonneville Salt Flats</t>
  </si>
  <si>
    <t>Paul Inkenbrandt (paulinkenbrandt@utah.gov)</t>
  </si>
  <si>
    <t>https://doi.org/10.17190/AMF/2001311</t>
  </si>
  <si>
    <t>https://doi.org/10.17190/AMF/2469474</t>
  </si>
  <si>
    <t>ALB, CO2, CO2_SIGMA, FC, FC_SSITC_TEST, FETCH_90, FETCH_MAX, G, H, H2O, H2O_SIGMA, H_SSITC_TEST, LE, LE_SSITC_TEST, LW_IN, LW_OUT, MO_LENGTH, NETRAD, P, PA, PBLH, RH, SG, SWC, SW_IN, SW_OUT, TA, TAU, TAU_SSITC_TEST, TS, T_SONIC, T_SONIC_SIGMA, U_SIGMA, USTAR, VPD, V_SIGMA, WD, WS, W_SIGMA, WS_MAX, ZL</t>
  </si>
  <si>
    <t>US-UTD</t>
  </si>
  <si>
    <t>UFLUX Dugout Ranch</t>
  </si>
  <si>
    <t>US-UTE</t>
  </si>
  <si>
    <t>UFLUX Escalante</t>
  </si>
  <si>
    <t>US-UTJ</t>
  </si>
  <si>
    <t>UFLUX Bluff</t>
  </si>
  <si>
    <t>US-UTM</t>
  </si>
  <si>
    <t>UFLUX Matheson</t>
  </si>
  <si>
    <t>https://doi.org/10.17190/AMF/2507521</t>
  </si>
  <si>
    <t>ALB, CH4, CO2, CO2_SIGMA, FC, FCH4, FCH4_SSITC_TEST, FC_SSITC_TEST, FETCH_90, FETCH_MAX, G, H, H2O, H2O_SIGMA, H_SSITC_TEST, LE, LE_SSITC_TEST, LW_IN, LW_OUT, MO_LENGTH, NETRAD, P, PA, PBLH, RH, SG, SWC, SW_IN, SW_OUT, TA, TAU, TAU_SSITC_TEST, T_CANOPY, TS, T_SONIC, T_SONIC_SIGMA, U_SIGMA, USTAR, VPD, V_SIGMA, WD, WS, W_SIGMA, WS_MAX, ZL</t>
  </si>
  <si>
    <t>US-UTN</t>
  </si>
  <si>
    <t>UFLUX Nephi</t>
  </si>
  <si>
    <t>https://doi.org/10.17190/AMF/2204058</t>
  </si>
  <si>
    <t>ALB, CO2, CO2_SIGMA, FC, FC_SSITC_TEST, FETCH_90, FETCH_MAX, H, H2O, H2O_SIGMA, H_SSITC_TEST, LE, LE_SSITC_TEST, LW_IN, LW_OUT, MO_LENGTH, NETRAD, PA, PBLH, RH, SW_IN, SW_OUT, TA, TAU, TAU_SSITC_TEST, T_SONIC, T_SONIC_SIGMA, U_SIGMA, USTAR, VPD, V_SIGMA, WD, WS, W_SIGMA, WS_MAX, ZL</t>
  </si>
  <si>
    <t>US-UTP</t>
  </si>
  <si>
    <t>UFLUX Great Salt Lake Phragmites</t>
  </si>
  <si>
    <t>US-UTV</t>
  </si>
  <si>
    <t>UFLUX Desert View</t>
  </si>
  <si>
    <t>US-UTW</t>
  </si>
  <si>
    <t>UFLUX Wellington</t>
  </si>
  <si>
    <t>https://doi.org/10.17190/AMF/2507522</t>
  </si>
  <si>
    <t>ALB, CH4, CO2, CO2_SIGMA, FC, FCH4, FCH4_SSITC_TEST, FC_SSITC_TEST, FETCH_90, FETCH_MAX, G, H, H2O, H2O_SIGMA, H_SSITC_TEST, LE, LE_SSITC_TEST, LW_IN, LW_OUT, MO_LENGTH, NETRAD, PA, PBLH, RH, SG, SWC, SW_IN, SW_OUT, TA, TAU, TAU_SSITC_TEST, T_CANOPY, TS, T_SONIC, T_SONIC_SIGMA, U_SIGMA, USTAR, VPD, V_SIGMA, WD, WS, W_SIGMA, WS_MAX, ZL</t>
  </si>
  <si>
    <t>US-UUC</t>
  </si>
  <si>
    <t>University of Utah Compass Minerals Flux</t>
  </si>
  <si>
    <t>Sebastian Hoch (Sebastian.hoch@utah.edu)</t>
  </si>
  <si>
    <t>Dwa</t>
  </si>
  <si>
    <t>Humid Continental: humid with severe winter, no dry season, warm summer</t>
  </si>
  <si>
    <t>US-UUP</t>
  </si>
  <si>
    <t>University of Utah Playa Flux</t>
  </si>
  <si>
    <t>Vaira Ranch- Ione</t>
  </si>
  <si>
    <t>https://doi.org/10.17190/AMF/1245984</t>
  </si>
  <si>
    <t>https://doi.org/10.17190/AMF/1993904</t>
  </si>
  <si>
    <t>CO2, CO2_SIGMA, FC, G, GPP, H, H2O, H2O_SIGMA, LE, LW_IN, LW_OUT, MO_LENGTH, NEE, NETRAD, P, PA, PPFD_DIF, PPFD_DIR, PPFD_IN, PPFD_OUT, RECO, RH, SWC, SW_IN, SW_OUT, TA, TAU, TS, T_SONIC, T_SONIC_SIGMA, U_SIGMA, USTAR, VPD, V_SIGMA, WD, WS, W_SIGMA, ZL</t>
  </si>
  <si>
    <t>Valles Caldera Mixed Conifer</t>
  </si>
  <si>
    <t>https://doi.org/10.17190/AMF/1246121</t>
  </si>
  <si>
    <t>https://doi.org/10.17190/AMF/2229391</t>
  </si>
  <si>
    <t>Valles Caldera Ponderosa Pine</t>
  </si>
  <si>
    <t>https://doi.org/10.17190/AMF/1246122</t>
  </si>
  <si>
    <t>https://doi.org/10.17190/AMF/2229392</t>
  </si>
  <si>
    <t>US-Vcs</t>
  </si>
  <si>
    <t>Valles Caldera Sulphur Springs Mixed Conifer</t>
  </si>
  <si>
    <t>https://doi.org/10.17190/AMF/1418681</t>
  </si>
  <si>
    <t>US-VFP</t>
  </si>
  <si>
    <t>Virginia Coast Reserve Fowling Point</t>
  </si>
  <si>
    <t>Jose D. Fuentes (jdfuentes@psu.edu)</t>
  </si>
  <si>
    <t>US-WBW</t>
  </si>
  <si>
    <t>Walker Branch Watershed</t>
  </si>
  <si>
    <t>1995, 1996, 1997, 1998, 1999, 2000, 2001, 2002, 2003, 2004, 2005, 2006, 2007</t>
  </si>
  <si>
    <t>https://doi.org/10.17190/AMF/1246109</t>
  </si>
  <si>
    <t>US-WCr</t>
  </si>
  <si>
    <t>Willow Creek</t>
  </si>
  <si>
    <t>https://doi.org/10.17190/AMF/1246111</t>
  </si>
  <si>
    <t>CO2, FC, G, GPP, H, H2O, LE, LW_IN, LW_OUT, NEE, NETRAD, P, PA, PPFD_DIF, PPFD_IN, RECO, RH, SC, SH, SLE, SWC, SW_IN, SW_OUT, TA, T_BOLE, TS, USTAR, VPD, WD, WS</t>
  </si>
  <si>
    <t>US-Wdn</t>
  </si>
  <si>
    <t>Walden</t>
  </si>
  <si>
    <t>2006, 2007, 2008</t>
  </si>
  <si>
    <t>https://doi.org/10.17190/AMF/1246832</t>
  </si>
  <si>
    <t>US-WEP</t>
  </si>
  <si>
    <t>West Edge Parking Lot</t>
  </si>
  <si>
    <t>US-Wgr</t>
  </si>
  <si>
    <t>Willamette Grass</t>
  </si>
  <si>
    <t>https://doi.org/10.17190/AMF/1498746</t>
  </si>
  <si>
    <t>ALB, CO2, FC, GPP, H, H2O, LE, LW_IN, LW_OUT, NEE, NETRAD, PA, PPFD_DIF, PPFD_DIR, PPFD_IN, RECO, SW_IN, SW_OUT, TA, U_SIGMA, USTAR, V_SIGMA, WD, WS, W_SIGMA</t>
  </si>
  <si>
    <t>Walnut Gulch Lucky Hills Shrub</t>
  </si>
  <si>
    <t>https://doi.org/10.17190/AMF/1246113</t>
  </si>
  <si>
    <t>2007, 2008, 2009, 2010, 2011, 2012, 2013, 2014, 2015, 2016, 2017, 2018, 2019, 2020</t>
  </si>
  <si>
    <t>https://doi.org/10.17190/AMF/1984574</t>
  </si>
  <si>
    <t>Young red pine (YRP)</t>
  </si>
  <si>
    <t>https://doi.org/10.17190/AMF/1246016</t>
  </si>
  <si>
    <t>https://doi.org/10.17190/AMF/2229393</t>
  </si>
  <si>
    <t>CO2, FC, G, H, H2O, LE, NEE, NETRAD, P, PA, PPFD_IN, RH, TA, TS, USTAR, VPD, WD, WS</t>
  </si>
  <si>
    <t>US-Wi1</t>
  </si>
  <si>
    <t>Intermediate hardwood (IHW)</t>
  </si>
  <si>
    <t>https://doi.org/10.17190/AMF/1246015</t>
  </si>
  <si>
    <t>https://doi.org/10.17190/AMF/2229394</t>
  </si>
  <si>
    <t>CO2, FC, G, H, H2O, LE, NEE, NETRAD, P, PA, PPFD_IN, RH, SC, TA, TS, USTAR, VPD, WD, WS</t>
  </si>
  <si>
    <t>US-Wi2</t>
  </si>
  <si>
    <t>Intermediate red pine (IRP)</t>
  </si>
  <si>
    <t>https://doi.org/10.17190/AMF/1246017</t>
  </si>
  <si>
    <t>US-Wi3</t>
  </si>
  <si>
    <t>Mature hardwood (MHW)</t>
  </si>
  <si>
    <t>https://doi.org/10.17190/AMF/1246018</t>
  </si>
  <si>
    <t>https://doi.org/10.17190/AMF/2229395</t>
  </si>
  <si>
    <t>US-Wi4</t>
  </si>
  <si>
    <t>Mature red pine (MRP)</t>
  </si>
  <si>
    <t>https://doi.org/10.17190/AMF/1246019</t>
  </si>
  <si>
    <t>https://doi.org/10.17190/AMF/2229396</t>
  </si>
  <si>
    <t>US-Wi5</t>
  </si>
  <si>
    <t>Mixed young jack pine (MYJP)</t>
  </si>
  <si>
    <t>https://doi.org/10.17190/AMF/1246020</t>
  </si>
  <si>
    <t>https://doi.org/10.17190/AMF/2229397</t>
  </si>
  <si>
    <t>US-Wi6</t>
  </si>
  <si>
    <t>Pine barrens #1 (PB1)</t>
  </si>
  <si>
    <t>https://doi.org/10.17190/AMF/1246021</t>
  </si>
  <si>
    <t>https://doi.org/10.17190/AMF/2229398</t>
  </si>
  <si>
    <t>US-Wi7</t>
  </si>
  <si>
    <t>Red pine clearcut (RPCC)</t>
  </si>
  <si>
    <t>https://doi.org/10.17190/AMF/1246022</t>
  </si>
  <si>
    <t>https://doi.org/10.17190/AMF/2229399</t>
  </si>
  <si>
    <t>US-Wi8</t>
  </si>
  <si>
    <t>Young hardwood clearcut (YHW)</t>
  </si>
  <si>
    <t>https://doi.org/10.17190/AMF/1246023</t>
  </si>
  <si>
    <t>https://doi.org/10.17190/AMF/2229400</t>
  </si>
  <si>
    <t>US-Wi9</t>
  </si>
  <si>
    <t>Young Jack pine (YJP)</t>
  </si>
  <si>
    <t>https://doi.org/10.17190/AMF/1246024</t>
  </si>
  <si>
    <t>https://doi.org/10.17190/AMF/2229401</t>
  </si>
  <si>
    <t>Willard Juniper Savannah</t>
  </si>
  <si>
    <t>https://doi.org/10.17190/AMF/1246120</t>
  </si>
  <si>
    <t>https://doi.org/10.17190/AMF/1871146</t>
  </si>
  <si>
    <t>Walnut Gulch Kendall Grasslands</t>
  </si>
  <si>
    <t>https://doi.org/10.17190/AMF/1246112</t>
  </si>
  <si>
    <t>https://doi.org/10.17190/AMF/1984575</t>
  </si>
  <si>
    <t>US-Wlr</t>
  </si>
  <si>
    <t>Walnut River Watershed (Smileyburg)</t>
  </si>
  <si>
    <t>Richard L. Coulter (rlcoulter@anl.gov)</t>
  </si>
  <si>
    <t>2001, 2002, 2003, 2004</t>
  </si>
  <si>
    <t>https://doi.org/10.17190/AMF/1246115</t>
  </si>
  <si>
    <t>ALB, FC, G, H, LE, NETRAD, P, PA, PPFD_IN, RH, SWC, SW_IN, SW_OUT, TA, TAU, TS, USTAR, WD, WS, ZL</t>
  </si>
  <si>
    <t>US-Wpp</t>
  </si>
  <si>
    <t>Willamette Poplar</t>
  </si>
  <si>
    <t>https://doi.org/10.17190/AMF/1579719</t>
  </si>
  <si>
    <t>ALB, CO2, FC, GPP, H, H2O, LE, LW_IN, LW_OUT, NEE, NETRAD, P, PA, PPFD_DIF, PPFD_IN, RECO, RH, SW_IN, SW_OUT, TA, T_SONIC, T_SONIC_SIGMA, U_SIGMA, USTAR, V_SIGMA, WD, WS, W_SIGMA</t>
  </si>
  <si>
    <t>US-WPT</t>
  </si>
  <si>
    <t>Winous Point North Marsh</t>
  </si>
  <si>
    <t>https://doi.org/10.17190/AMF/1246155</t>
  </si>
  <si>
    <t>https://doi.org/10.17190/AMF/2229402</t>
  </si>
  <si>
    <t>CH4, CO2, FC, FCH4, H, H2O, LE, LW_IN, LW_OUT, MO_LENGTH, NEE, NETRAD, P, PA, PPFD_IN, RH, SW_IN, SW_OUT, TA, TS, T_SONIC, T_SONIC_SIGMA, TW, U_SIGMA, USTAR, V_SIGMA, WD, WS, W_SIGMA, WTD, ZL</t>
  </si>
  <si>
    <t>US-Wrc</t>
  </si>
  <si>
    <t>Wind River Crane Site</t>
  </si>
  <si>
    <t>1998, 1999, 2000, 2001, 2002, 2003, 2004, 2005, 2006, 2007, 2008, 2009, 2010, 2011, 2012, 2013, 2014, 2015</t>
  </si>
  <si>
    <t>https://doi.org/10.17190/AMF/1246114</t>
  </si>
  <si>
    <t>US-WT1</t>
  </si>
  <si>
    <t>Kress, TX no-till cotton and grain sorghum production</t>
  </si>
  <si>
    <t>Craig Bednarz (cbednarz@wtamu.edu)</t>
  </si>
  <si>
    <t>https://doi.org/10.17190/AMF/2407207</t>
  </si>
  <si>
    <t>CO2, CO2_SIGMA, FC, FETCH_90, FETCH_MAX, H, H2O, H2O_SIGMA, LE, MO_LENGTH, PA, PBLH, TAU, T_SONIC, T_SONIC_SIGMA, U_SIGMA, USTAR, VPD, V_SIGMA, WD, WS, W_SIGMA, WS_MAX, ZL</t>
  </si>
  <si>
    <t>US-Wwt</t>
  </si>
  <si>
    <t>Willamette Wheat</t>
  </si>
  <si>
    <t>https://doi.org/10.17190/AMF/1825941</t>
  </si>
  <si>
    <t>ALB, CO2, FC, GPP, H, H2O, LE, LW_IN, LW_OUT, NETRAD, PA, PPFD_IN, RH, SWC, SW_IN, SW_OUT, TA, T_SONIC, T_SONIC_SIGMA, U_SIGMA, USTAR, WD, WS, W_SIGMA</t>
  </si>
  <si>
    <t>NEON Abby Road (ABBY)</t>
  </si>
  <si>
    <t>https://doi.org/10.17190/AMF/1617726</t>
  </si>
  <si>
    <t>https://doi.org/10.17190/AMF/2229403</t>
  </si>
  <si>
    <t>NEON Klemme Range Research Station (OAES)</t>
  </si>
  <si>
    <t>https://doi.org/10.17190/AMF/1671891</t>
  </si>
  <si>
    <t>https://doi.org/10.17190/AMF/1985434</t>
  </si>
  <si>
    <t>NEON Barrow Environmental Observatory (BARR)</t>
  </si>
  <si>
    <t>https://doi.org/10.17190/AMF/1671892</t>
  </si>
  <si>
    <t>https://doi.org/10.17190/AMF/2229404</t>
  </si>
  <si>
    <t>NEON Blandy Experimental Farm (BLAN)</t>
  </si>
  <si>
    <t>https://doi.org/10.17190/AMF/1671893</t>
  </si>
  <si>
    <t>https://doi.org/10.17190/AMF/2229405</t>
  </si>
  <si>
    <t>NEON Caribou Creek - Poker Flats Watershed (BONA)</t>
  </si>
  <si>
    <t>https://doi.org/10.17190/AMF/1617727</t>
  </si>
  <si>
    <t>https://doi.org/10.17190/AMF/2229406</t>
  </si>
  <si>
    <t>NEON Bartlett Experimental Forest (BART)</t>
  </si>
  <si>
    <t>https://doi.org/10.17190/AMF/1579542</t>
  </si>
  <si>
    <t>https://doi.org/10.17190/AMF/1881598</t>
  </si>
  <si>
    <t>NEON LBJ National Grassland (CLBJ)</t>
  </si>
  <si>
    <t>https://doi.org/10.17190/AMF/1671894</t>
  </si>
  <si>
    <t>https://doi.org/10.17190/AMF/1985435</t>
  </si>
  <si>
    <t>NEON Central Plains Experimental Range (CPER)</t>
  </si>
  <si>
    <t>https://doi.org/10.17190/AMF/1579720</t>
  </si>
  <si>
    <t>https://doi.org/10.17190/AMF/1985436</t>
  </si>
  <si>
    <t>NEON Dakota Coteau Field School (DCFS)</t>
  </si>
  <si>
    <t>https://doi.org/10.17190/AMF/1617728</t>
  </si>
  <si>
    <t>https://doi.org/10.17190/AMF/1985437</t>
  </si>
  <si>
    <t>NEON Delta Junction (DEJU)</t>
  </si>
  <si>
    <t>https://doi.org/10.17190/AMF/1634884</t>
  </si>
  <si>
    <t>https://doi.org/10.17190/AMF/2229407</t>
  </si>
  <si>
    <t>NEON Dead Lake (DELA)</t>
  </si>
  <si>
    <t>https://doi.org/10.17190/AMF/1579721</t>
  </si>
  <si>
    <t>https://doi.org/10.17190/AMF/1985438</t>
  </si>
  <si>
    <t>NEON Disney Wilderness Preserve (DSNY)</t>
  </si>
  <si>
    <t>https://doi.org/10.17190/AMF/1671895</t>
  </si>
  <si>
    <t>https://doi.org/10.17190/AMF/1985439</t>
  </si>
  <si>
    <t>NEON Great Smoky Mountains National Park, Twin Creeks (GRSM)</t>
  </si>
  <si>
    <t>https://doi.org/10.17190/AMF/1634885</t>
  </si>
  <si>
    <t>https://doi.org/10.17190/AMF/1985440</t>
  </si>
  <si>
    <t>NEON Harvard Forest (HARV)</t>
  </si>
  <si>
    <t>https://doi.org/10.17190/AMF/1562391</t>
  </si>
  <si>
    <t>https://doi.org/10.17190/AMF/1985441</t>
  </si>
  <si>
    <t>NEON Healy (HEAL)</t>
  </si>
  <si>
    <t>https://doi.org/10.17190/AMF/1617729</t>
  </si>
  <si>
    <t>https://doi.org/10.17190/AMF/1985442</t>
  </si>
  <si>
    <t>NEON Jones Ecological Research Center (JERC)</t>
  </si>
  <si>
    <t>https://doi.org/10.17190/AMF/1617730</t>
  </si>
  <si>
    <t>https://doi.org/10.17190/AMF/1985443</t>
  </si>
  <si>
    <t>NEON Jornada LTER (JORN)</t>
  </si>
  <si>
    <t>https://doi.org/10.17190/AMF/1617731</t>
  </si>
  <si>
    <t>https://doi.org/10.17190/AMF/2229408</t>
  </si>
  <si>
    <t>NEON Konza Prairie Biological Station - Relocatable (KONA)</t>
  </si>
  <si>
    <t>https://doi.org/10.17190/AMF/1579722</t>
  </si>
  <si>
    <t>https://doi.org/10.17190/AMF/1985444</t>
  </si>
  <si>
    <t>NEON Konza Prairie Biological Station (KONZ)</t>
  </si>
  <si>
    <t>https://doi.org/10.17190/AMF/1562392</t>
  </si>
  <si>
    <t>https://doi.org/10.17190/AMF/1985445</t>
  </si>
  <si>
    <t>US-xLE</t>
  </si>
  <si>
    <t>NEON Lenoir Landing (LENO)</t>
  </si>
  <si>
    <t>https://doi.org/10.17190/AMF/1773398</t>
  </si>
  <si>
    <t>NEON Moab (MOAB)</t>
  </si>
  <si>
    <t>https://doi.org/10.17190/AMF/1671896</t>
  </si>
  <si>
    <t>https://doi.org/10.17190/AMF/1985446</t>
  </si>
  <si>
    <t>NEON Mountain Lake Biological Station (MLBS)</t>
  </si>
  <si>
    <t>https://doi.org/10.17190/AMF/1671897</t>
  </si>
  <si>
    <t>https://doi.org/10.17190/AMF/1985447</t>
  </si>
  <si>
    <t>NEON Northern Great Plains Research Laboratory (NOGP)</t>
  </si>
  <si>
    <t>https://doi.org/10.17190/AMF/1617732</t>
  </si>
  <si>
    <t>https://doi.org/10.17190/AMF/1985448</t>
  </si>
  <si>
    <t>NEON Onaqui-Ault (ONAQ)</t>
  </si>
  <si>
    <t>https://doi.org/10.17190/AMF/1617733</t>
  </si>
  <si>
    <t>https://doi.org/10.17190/AMF/1985449</t>
  </si>
  <si>
    <t>US-xNW</t>
  </si>
  <si>
    <t>NEON Niwot Ridge Mountain Research Station (NIWO)</t>
  </si>
  <si>
    <t>https://doi.org/10.17190/AMF/1671898</t>
  </si>
  <si>
    <t>US-xPU</t>
  </si>
  <si>
    <t>NEON Pu'u Maka'ala Natural Area Reserve (PUUM)</t>
  </si>
  <si>
    <t>https://doi.org/10.17190/AMF/1773399</t>
  </si>
  <si>
    <t>CH4, CH4_MIXING_RATIO, CO2, CO2C13, CO2_MIXING_RATIO, FC, FETCH_90, FETCH_MAX, G, H, H2O, H2O_MIXING_RATIO, LE, LW_BC_IN, LW_BC_OUT, LW_IN, LW_OUT, NEE, NETRAD, P, PA, PPFD_BC_IN, PPFD_IN, PPFD_OUT, RH, SC, SH, SLE, SW_DIF, SW_IN, SW_OUT, TA, T_CANOPY, THROUGHFALL, T_SONIC, T_SONIC_SIGMA, USTAR, VPD, V_SIGMA, WD, WS, WS_MAX</t>
  </si>
  <si>
    <t>NEON Rocky Mountain National Park, CASTNET (RMNP)</t>
  </si>
  <si>
    <t>https://doi.org/10.17190/AMF/1579723</t>
  </si>
  <si>
    <t>https://doi.org/10.17190/AMF/1985450</t>
  </si>
  <si>
    <t>US-xRN</t>
  </si>
  <si>
    <t>NEON Oak Ridge National Lab (ORNL)</t>
  </si>
  <si>
    <t>https://doi.org/10.17190/AMF/1773400</t>
  </si>
  <si>
    <t>NEON Ordway-Swisher Biological Station (OSBS)</t>
  </si>
  <si>
    <t>https://doi.org/10.17190/AMF/1671899</t>
  </si>
  <si>
    <t>https://doi.org/10.17190/AMF/1985451</t>
  </si>
  <si>
    <t>NEON Smithsonian Conservation Biology Institute (SCBI)</t>
  </si>
  <si>
    <t>https://doi.org/10.17190/AMF/1671900</t>
  </si>
  <si>
    <t>https://doi.org/10.17190/AMF/2229409</t>
  </si>
  <si>
    <t>NEON Smithsonian Environmental Research Center (SERC)</t>
  </si>
  <si>
    <t>https://doi.org/10.17190/AMF/1617734</t>
  </si>
  <si>
    <t>https://doi.org/10.17190/AMF/1985452</t>
  </si>
  <si>
    <t>NEON San Joaquin Experimental Range (SJER)</t>
  </si>
  <si>
    <t>https://doi.org/10.17190/AMF/1671901</t>
  </si>
  <si>
    <t>https://doi.org/10.17190/AMF/2229410</t>
  </si>
  <si>
    <t>NEON North Sterling, CO (STER)</t>
  </si>
  <si>
    <t>https://doi.org/10.17190/AMF/1617735</t>
  </si>
  <si>
    <t>https://doi.org/10.17190/AMF/2229411</t>
  </si>
  <si>
    <t>US-xSP</t>
  </si>
  <si>
    <t>NEON Soaproot Saddle (SOAP)</t>
  </si>
  <si>
    <t>https://doi.org/10.17190/AMF/1617736</t>
  </si>
  <si>
    <t>NEON Santa Rita Experimental Range (SRER)</t>
  </si>
  <si>
    <t>https://doi.org/10.17190/AMF/1579543</t>
  </si>
  <si>
    <t>https://doi.org/10.17190/AMF/1985453</t>
  </si>
  <si>
    <t>NEON Steigerwaldt Land Services (STEI)</t>
  </si>
  <si>
    <t>https://doi.org/10.17190/AMF/1617737</t>
  </si>
  <si>
    <t>https://doi.org/10.17190/AMF/1985454</t>
  </si>
  <si>
    <t>NEON Talladega National Forest (TALL)</t>
  </si>
  <si>
    <t>https://doi.org/10.17190/AMF/1671902</t>
  </si>
  <si>
    <t>https://doi.org/10.17190/AMF/1985455</t>
  </si>
  <si>
    <t>US-xTE</t>
  </si>
  <si>
    <t>NEON Lower Teakettle (TEAK)</t>
  </si>
  <si>
    <t>https://doi.org/10.17190/AMF/1617738</t>
  </si>
  <si>
    <t>US-xTL</t>
  </si>
  <si>
    <t>NEON Toolik (TOOL)</t>
  </si>
  <si>
    <t>https://doi.org/10.17190/AMF/1617739</t>
  </si>
  <si>
    <t>https://doi.org/10.17190/AMF/2469475</t>
  </si>
  <si>
    <t>NEON Treehaven (TREE)</t>
  </si>
  <si>
    <t>https://doi.org/10.17190/AMF/1634886</t>
  </si>
  <si>
    <t>https://doi.org/10.17190/AMF/1985456</t>
  </si>
  <si>
    <t>NEON The University of Kansas Field Station (UKFS)</t>
  </si>
  <si>
    <t>https://doi.org/10.17190/AMF/1617740</t>
  </si>
  <si>
    <t>https://doi.org/10.17190/AMF/1985457</t>
  </si>
  <si>
    <t>NEON University of Notre Dame Environmental Research Center (UNDE)</t>
  </si>
  <si>
    <t>https://doi.org/10.17190/AMF/1617741</t>
  </si>
  <si>
    <t>https://doi.org/10.17190/AMF/1985458</t>
  </si>
  <si>
    <t>NEON Woodworth (WOOD)</t>
  </si>
  <si>
    <t>https://doi.org/10.17190/AMF/1579724</t>
  </si>
  <si>
    <t>https://doi.org/10.17190/AMF/2229412</t>
  </si>
  <si>
    <t>US-xWR</t>
  </si>
  <si>
    <t>NEON Wind River Experimental Forest (WREF)</t>
  </si>
  <si>
    <t>https://doi.org/10.17190/AMF/1617742</t>
  </si>
  <si>
    <t>NEON Yellowstone Northern Range (Frog Rock) (YELL)</t>
  </si>
  <si>
    <t>https://doi.org/10.17190/AMF/1617743</t>
  </si>
  <si>
    <t>https://doi.org/10.17190/AMF/1985459</t>
  </si>
  <si>
    <t>US-YK1</t>
  </si>
  <si>
    <t>Yukon-Kuskokwim Delta, Izaviknek-Kingaglia uplands, Burned 2015</t>
  </si>
  <si>
    <t>https://doi.org/10.17190/AMF/2331384</t>
  </si>
  <si>
    <t>ALB, CH4, CH4_MIXING_RATIO, CO2, CO2_MIXING_RATIO, FC, FCH4, FCH4_SSITC_TEST, FC_SSITC_TEST, FH2O, G, GPP, H, H2O, H_SSITC_TEST, LE, LE_SSITC_TEST, LW_IN, LW_OUT, MO_LENGTH, NETRAD, P, PA, PPFD_IN, RECO, RH, SWC, SW_IN, SW_OUT, TA, TAU, TAU_SSITC_TEST, TS, T_SONIC, U_SIGMA, USTAR, VPD, V_SIGMA, WD, WS, W_SIGMA, WS_MAX, ZL</t>
  </si>
  <si>
    <t>US-YK2</t>
  </si>
  <si>
    <t>Yukon-Kuskokwim Delta, Izaviknek-Kingaglia uplands, Unburned</t>
  </si>
  <si>
    <t>Sue Natali (snatali@woodwellclimate.org)</t>
  </si>
  <si>
    <t>https://doi.org/10.17190/AMF/2331385</t>
  </si>
  <si>
    <t>https://doi.org/10.17190/AMF/2469476</t>
  </si>
  <si>
    <t>US-Ylw</t>
  </si>
  <si>
    <t>Yellow Cab urban</t>
  </si>
  <si>
    <t>Gunnar Schade (gws@geos.tamu.edu)</t>
  </si>
  <si>
    <t>US-YNS</t>
  </si>
  <si>
    <t>North Star Yedoma</t>
  </si>
  <si>
    <t>https://doi.org/10.17190/AMF/2507523</t>
  </si>
  <si>
    <t>CH4, CO2, FC, FCH4, H, LE, NETRAD, PA, P_RAIN, RH, SWC, SW_IN, SW_OUT, TA, TS, USTAR, WD, WS</t>
  </si>
  <si>
    <t>IGBP</t>
  </si>
  <si>
    <t>IGBP_site</t>
  </si>
  <si>
    <t>This list includes all the sites with data from 2018 onwards from AMF, ICOS-WW, ICOS-Drought, OzFlux</t>
  </si>
  <si>
    <t>Climate_site</t>
  </si>
  <si>
    <t>Climate_KG0p01</t>
  </si>
  <si>
    <t>AR-SLu</t>
  </si>
  <si>
    <t>San Luis</t>
  </si>
  <si>
    <t>AR-Vir</t>
  </si>
  <si>
    <t>Virasoro</t>
  </si>
  <si>
    <t>AT-Neu</t>
  </si>
  <si>
    <t>Neustift</t>
  </si>
  <si>
    <t>Alice Springs</t>
  </si>
  <si>
    <t>AU-Ade</t>
  </si>
  <si>
    <t>Adelaide River</t>
  </si>
  <si>
    <t>Calperum</t>
  </si>
  <si>
    <t>Cumberland Plain</t>
  </si>
  <si>
    <t>AU-DaP</t>
  </si>
  <si>
    <t>Daly River Pasture</t>
  </si>
  <si>
    <t>Daly River Savanna</t>
  </si>
  <si>
    <t>Dry River</t>
  </si>
  <si>
    <t>AU-Emr</t>
  </si>
  <si>
    <t>Emerald</t>
  </si>
  <si>
    <t>AU-Fog</t>
  </si>
  <si>
    <t>Fogg Dam</t>
  </si>
  <si>
    <t>Great Western Woodlands, Western Australia, Australia</t>
  </si>
  <si>
    <t>AU-Gin</t>
  </si>
  <si>
    <t>Gingin</t>
  </si>
  <si>
    <t>AU-How</t>
  </si>
  <si>
    <t>Howard Springs</t>
  </si>
  <si>
    <t>AU-Lox</t>
  </si>
  <si>
    <t>Loxton</t>
  </si>
  <si>
    <t>AU-RDF</t>
  </si>
  <si>
    <t>Red Dirt Melon Farm, Northern Territory</t>
  </si>
  <si>
    <t>AU-Rig</t>
  </si>
  <si>
    <t>Riggs Creek</t>
  </si>
  <si>
    <t>AU-Rob</t>
  </si>
  <si>
    <t>Robson Creek, Queensland, Australia</t>
  </si>
  <si>
    <t>Sturt Plains</t>
  </si>
  <si>
    <t>AU-TTE</t>
  </si>
  <si>
    <t>Ti Tree East</t>
  </si>
  <si>
    <t>AU-Tum</t>
  </si>
  <si>
    <t>Tumbarumba</t>
  </si>
  <si>
    <t>AU-Wac</t>
  </si>
  <si>
    <t>Wallaby Creek</t>
  </si>
  <si>
    <t>Whroo</t>
  </si>
  <si>
    <t>Wombat</t>
  </si>
  <si>
    <t>AU-Ync</t>
  </si>
  <si>
    <t>Jaxa</t>
  </si>
  <si>
    <t>Brasschaat</t>
  </si>
  <si>
    <t>Lonzee</t>
  </si>
  <si>
    <t>Vielsalm</t>
  </si>
  <si>
    <t>BW-Gum</t>
  </si>
  <si>
    <t>Guma</t>
  </si>
  <si>
    <t>BW-Nxr</t>
  </si>
  <si>
    <t>Nxaraga</t>
  </si>
  <si>
    <t>CG-Tch</t>
  </si>
  <si>
    <t>Tchizalamou</t>
  </si>
  <si>
    <t>Chamau</t>
  </si>
  <si>
    <t>Davos</t>
  </si>
  <si>
    <t>Früebüel</t>
  </si>
  <si>
    <t>Laegern</t>
  </si>
  <si>
    <t>CH-Oe1</t>
  </si>
  <si>
    <t>Oensingen grassland</t>
  </si>
  <si>
    <t>Oensingen crop</t>
  </si>
  <si>
    <t>CN-Cha</t>
  </si>
  <si>
    <t>Changbaishan</t>
  </si>
  <si>
    <t>CN-Cng</t>
  </si>
  <si>
    <t>Changling</t>
  </si>
  <si>
    <t>CN-Dan</t>
  </si>
  <si>
    <t>Dangxiong</t>
  </si>
  <si>
    <t>CN-Din</t>
  </si>
  <si>
    <t>Dinghushan</t>
  </si>
  <si>
    <t>CN-Du2</t>
  </si>
  <si>
    <t>Duolun_grassland (D01)</t>
  </si>
  <si>
    <t>CN-Du3</t>
  </si>
  <si>
    <t>Duolun Degraded Meadow</t>
  </si>
  <si>
    <t>CN-Ha2</t>
  </si>
  <si>
    <t>Haibei Shrubland</t>
  </si>
  <si>
    <t>CN-HaM</t>
  </si>
  <si>
    <t>Haibei Alpine Tibet site</t>
  </si>
  <si>
    <t>CN-Hgu</t>
  </si>
  <si>
    <t>Hongyuan</t>
  </si>
  <si>
    <t>CN-Qia</t>
  </si>
  <si>
    <t>Qianyanzhou</t>
  </si>
  <si>
    <t>CN-Sw2</t>
  </si>
  <si>
    <t>Siziwang Grazed (SZWG)</t>
  </si>
  <si>
    <t>Bily Kriz forest</t>
  </si>
  <si>
    <t>CZ-BK2</t>
  </si>
  <si>
    <t>Bily Kriz grassland</t>
  </si>
  <si>
    <t>Trebon (CZECHWET)</t>
  </si>
  <si>
    <t>Anklam</t>
  </si>
  <si>
    <t>DE-Dgw</t>
  </si>
  <si>
    <t>Dagowsee</t>
  </si>
  <si>
    <t>Gebesee</t>
  </si>
  <si>
    <t>Grillenburg</t>
  </si>
  <si>
    <t>Hainich</t>
  </si>
  <si>
    <t>Huetelmoor</t>
  </si>
  <si>
    <t>Klingenberg</t>
  </si>
  <si>
    <t>DE-Lkb</t>
  </si>
  <si>
    <t>Lackenberg</t>
  </si>
  <si>
    <t>DE-Lnf</t>
  </si>
  <si>
    <t>Leinefelde</t>
  </si>
  <si>
    <t>Oberbärenburg</t>
  </si>
  <si>
    <t>Rollesbroich</t>
  </si>
  <si>
    <t>Selhausen Juelich</t>
  </si>
  <si>
    <t>DE-Seh</t>
  </si>
  <si>
    <t>Selhausen</t>
  </si>
  <si>
    <t>DE-SfN</t>
  </si>
  <si>
    <t>Schechenfilz Nord</t>
  </si>
  <si>
    <t>DE-Spw</t>
  </si>
  <si>
    <t>Spreewald</t>
  </si>
  <si>
    <t>Tharandt</t>
  </si>
  <si>
    <t>DE-Zrk</t>
  </si>
  <si>
    <t>Zarnekow</t>
  </si>
  <si>
    <t>DK-Eng</t>
  </si>
  <si>
    <t>Enghave</t>
  </si>
  <si>
    <t>DK-Fou</t>
  </si>
  <si>
    <t>Foulum</t>
  </si>
  <si>
    <t>Soroe</t>
  </si>
  <si>
    <t>ES-Amo</t>
  </si>
  <si>
    <t>Amoladeras</t>
  </si>
  <si>
    <t>Llano de los Juanes</t>
  </si>
  <si>
    <t>ES-LgS</t>
  </si>
  <si>
    <t>Laguna Seca</t>
  </si>
  <si>
    <t>ES-Ln2</t>
  </si>
  <si>
    <t>Lanjaron-Salvage logging</t>
  </si>
  <si>
    <t>Hyytiala</t>
  </si>
  <si>
    <t>FI-Jok</t>
  </si>
  <si>
    <t>Jokioinen</t>
  </si>
  <si>
    <t>Lettosuo</t>
  </si>
  <si>
    <t>FI-Lom</t>
  </si>
  <si>
    <t>Lompolojankka</t>
  </si>
  <si>
    <t>FI-Si2</t>
  </si>
  <si>
    <t>Siikaneva-2 Bog</t>
  </si>
  <si>
    <t>Siikaneva</t>
  </si>
  <si>
    <t>FI-Sod</t>
  </si>
  <si>
    <t>Sodankyla</t>
  </si>
  <si>
    <t>Fontainebleau-Barbeau</t>
  </si>
  <si>
    <t>Grignon</t>
  </si>
  <si>
    <t>FR-LBr</t>
  </si>
  <si>
    <t>Le Bray</t>
  </si>
  <si>
    <t>La Guette</t>
  </si>
  <si>
    <t>FR-Pue</t>
  </si>
  <si>
    <t>Puechabon</t>
  </si>
  <si>
    <t>Guyaflux (French Guiana)</t>
  </si>
  <si>
    <t>GH-Ank</t>
  </si>
  <si>
    <t>Ankasa</t>
  </si>
  <si>
    <t>GL-NuF</t>
  </si>
  <si>
    <t>Nuuk Fen</t>
  </si>
  <si>
    <t>GL-ZaF</t>
  </si>
  <si>
    <t>Zackenberg Fen</t>
  </si>
  <si>
    <t>GL-ZaH</t>
  </si>
  <si>
    <t>Zackenberg Heath</t>
  </si>
  <si>
    <t>HK-MPM</t>
  </si>
  <si>
    <t>Mai Po Mangrove</t>
  </si>
  <si>
    <t>ID-Pag</t>
  </si>
  <si>
    <t>Palangkaraya undrained forest</t>
  </si>
  <si>
    <t>Borgo Cioffi</t>
  </si>
  <si>
    <t>IT-CA1</t>
  </si>
  <si>
    <t>Castel d'Asso1</t>
  </si>
  <si>
    <t>IT-CA2</t>
  </si>
  <si>
    <t>Castel d'Asso2</t>
  </si>
  <si>
    <t>IT-CA3</t>
  </si>
  <si>
    <t>Castel d'Asso3</t>
  </si>
  <si>
    <t>IT-Cas</t>
  </si>
  <si>
    <t>Castellaro</t>
  </si>
  <si>
    <t>IT-Col</t>
  </si>
  <si>
    <t>Collelongo</t>
  </si>
  <si>
    <t>Castelporziano2</t>
  </si>
  <si>
    <t>IT-Cpz</t>
  </si>
  <si>
    <t>Castelporziano</t>
  </si>
  <si>
    <t>IT-Isp</t>
  </si>
  <si>
    <t>Ispra ABC-IS</t>
  </si>
  <si>
    <t>IT-La2</t>
  </si>
  <si>
    <t>Lavarone2</t>
  </si>
  <si>
    <t>Lavarone</t>
  </si>
  <si>
    <t>Monte Bondone</t>
  </si>
  <si>
    <t>IT-Noe</t>
  </si>
  <si>
    <t>Arca di Noe - Le Prigionette</t>
  </si>
  <si>
    <t>IT-PT1</t>
  </si>
  <si>
    <t>Parco Ticino forest</t>
  </si>
  <si>
    <t>Renon</t>
  </si>
  <si>
    <t>IT-Ro1</t>
  </si>
  <si>
    <t>Roccarespampani 1</t>
  </si>
  <si>
    <t>IT-Ro2</t>
  </si>
  <si>
    <t>Roccarespampani 2</t>
  </si>
  <si>
    <t>San Rossore 2</t>
  </si>
  <si>
    <t>IT-SRo</t>
  </si>
  <si>
    <t>San Rossore</t>
  </si>
  <si>
    <t>Torgnon</t>
  </si>
  <si>
    <t>JP-BBY</t>
  </si>
  <si>
    <t>Bibai bog</t>
  </si>
  <si>
    <t>JP-MBF</t>
  </si>
  <si>
    <t>Moshiri Birch Forest Site</t>
  </si>
  <si>
    <t>JP-Mse</t>
  </si>
  <si>
    <t>Mase rice paddy field</t>
  </si>
  <si>
    <t>JP-SMF</t>
  </si>
  <si>
    <t>Seto Mixed Forest Site</t>
  </si>
  <si>
    <t>JP-SwL</t>
  </si>
  <si>
    <t>Suwa Lake</t>
  </si>
  <si>
    <t>KR-CRK</t>
  </si>
  <si>
    <t>Cheorwon Rice paddy</t>
  </si>
  <si>
    <t>MY-MLM</t>
  </si>
  <si>
    <t>Maludam National Park</t>
  </si>
  <si>
    <t>MY-PSO</t>
  </si>
  <si>
    <t>Pasoh Forest Reserve (PSO)</t>
  </si>
  <si>
    <t>NL-Hor</t>
  </si>
  <si>
    <t>Horstermeer</t>
  </si>
  <si>
    <t>Loobos</t>
  </si>
  <si>
    <t>NZ-Kop</t>
  </si>
  <si>
    <t>Kopuatai</t>
  </si>
  <si>
    <t>PA-SPn</t>
  </si>
  <si>
    <t>Sardinilla Plantation</t>
  </si>
  <si>
    <t>PA-SPs</t>
  </si>
  <si>
    <t>Sardinilla-Pasture</t>
  </si>
  <si>
    <t>PH-RiF</t>
  </si>
  <si>
    <t>Philippines Rice Institute flooded</t>
  </si>
  <si>
    <t>RU-Ch2</t>
  </si>
  <si>
    <t>Chersky reference</t>
  </si>
  <si>
    <t>RU-Che</t>
  </si>
  <si>
    <t>Cherski</t>
  </si>
  <si>
    <t>RU-Cok</t>
  </si>
  <si>
    <t>Chokurdakh</t>
  </si>
  <si>
    <t>Fyodorovskoye dry spruce</t>
  </si>
  <si>
    <t>Fyodorovskoye</t>
  </si>
  <si>
    <t>RU-Ha1</t>
  </si>
  <si>
    <t>Hakasia steppe</t>
  </si>
  <si>
    <t>RU-Sam</t>
  </si>
  <si>
    <t>Samoylov</t>
  </si>
  <si>
    <t>Tier 2</t>
  </si>
  <si>
    <t>RU-SkP</t>
  </si>
  <si>
    <t>Yakutsk Spasskaya Pad larch</t>
  </si>
  <si>
    <t>RU-Tks</t>
  </si>
  <si>
    <t>Tiksi</t>
  </si>
  <si>
    <t>RU-Vrk</t>
  </si>
  <si>
    <t>Seida/Vorkuta</t>
  </si>
  <si>
    <t>SD-Dem</t>
  </si>
  <si>
    <t>Demokeya</t>
  </si>
  <si>
    <t>Degero</t>
  </si>
  <si>
    <t>SE-St1</t>
  </si>
  <si>
    <t>Stordalen grassland</t>
  </si>
  <si>
    <t>SJ-Adv</t>
  </si>
  <si>
    <t>Adventdalen</t>
  </si>
  <si>
    <t>SJ-Blv</t>
  </si>
  <si>
    <t>Bayelva, Spitsbergen</t>
  </si>
  <si>
    <t>SN-Dhr</t>
  </si>
  <si>
    <t>Dahra</t>
  </si>
  <si>
    <t>UK-LBT</t>
  </si>
  <si>
    <t>London_BT</t>
  </si>
  <si>
    <t>US-Oho</t>
  </si>
  <si>
    <t>Oak Openings</t>
  </si>
  <si>
    <t>ZA-Kru</t>
  </si>
  <si>
    <t>Skukuza</t>
  </si>
  <si>
    <t>ZM-Mon</t>
  </si>
  <si>
    <t>Mongu</t>
  </si>
  <si>
    <t>https://fluxnet.org/sites/site-list-and-pages/</t>
  </si>
  <si>
    <t>SITE_ID</t>
  </si>
  <si>
    <t>SITE_NAME</t>
  </si>
  <si>
    <t>FLUXNET2015</t>
  </si>
  <si>
    <t>FLUXNET-CH4</t>
  </si>
  <si>
    <t>LOCATION_LAT</t>
  </si>
  <si>
    <t>LOCATION_LONG</t>
  </si>
  <si>
    <t>LOCATION_ELEV</t>
  </si>
  <si>
    <t>MAT</t>
  </si>
  <si>
    <t>MAP</t>
  </si>
  <si>
    <t>Downloaded</t>
  </si>
  <si>
    <t>Name [Fluxnet]</t>
  </si>
  <si>
    <t>Landcover</t>
  </si>
  <si>
    <t>annual Rainfall</t>
  </si>
  <si>
    <t>Temp range °C</t>
  </si>
  <si>
    <t>Location</t>
  </si>
  <si>
    <t>Group</t>
  </si>
  <si>
    <t>Status</t>
  </si>
  <si>
    <t>Contact</t>
  </si>
  <si>
    <t>[Lat, Long]</t>
  </si>
  <si>
    <t>Last access</t>
  </si>
  <si>
    <t>Latest year available</t>
  </si>
  <si>
    <t>Savanna dominated by Eucalyptus tectifica and Planchonia careya.</t>
  </si>
  <si>
    <t>[AU-Adr]</t>
  </si>
  <si>
    <t>[-13.0769, 131.1178]</t>
  </si>
  <si>
    <t>https://data.ozflux.org.au/portal/pub/viewColDetails.jspx?collection.id=1882701&amp;collection.owner.id=304&amp;viewType=anonymous</t>
  </si>
  <si>
    <t>L3</t>
  </si>
  <si>
    <t>Alice Springs Mulga</t>
  </si>
  <si>
    <r>
      <t>Semi-arid mulga (</t>
    </r>
    <r>
      <rPr>
        <i/>
        <sz val="7.7"/>
        <color rgb="FF333333"/>
        <rFont val="Arial"/>
        <family val="2"/>
      </rPr>
      <t>Acacia aneura</t>
    </r>
    <r>
      <rPr>
        <sz val="7.7"/>
        <color rgb="FF333333"/>
        <rFont val="Arial"/>
        <family val="2"/>
      </rPr>
      <t>) ecosystem</t>
    </r>
  </si>
  <si>
    <t>306mm</t>
  </si>
  <si>
    <t>Pine Hill cattle station, near Alice Springs, Northern Territory</t>
  </si>
  <si>
    <t>James Cook University</t>
  </si>
  <si>
    <t>Running since September 2010</t>
  </si>
  <si>
    <t>Jamie Cleverly</t>
  </si>
  <si>
    <t>L3,L6</t>
  </si>
  <si>
    <t>[AU-ASM]</t>
  </si>
  <si>
    <t>[-22.2828, 133.2493]</t>
  </si>
  <si>
    <t>https://data.ozflux.org.au/portal/pub/viewColDetails.jspx?collection.id=152&amp;collection.owner.id=101&amp;viewType=anonymous</t>
  </si>
  <si>
    <t>Alpine Peatland</t>
  </si>
  <si>
    <r>
      <t>Alpine </t>
    </r>
    <r>
      <rPr>
        <i/>
        <sz val="7.7"/>
        <color rgb="FF333333"/>
        <rFont val="Arial"/>
        <family val="2"/>
      </rPr>
      <t>Sphagnum</t>
    </r>
    <r>
      <rPr>
        <sz val="7.7"/>
        <color rgb="FF333333"/>
        <rFont val="Arial"/>
        <family val="2"/>
      </rPr>
      <t> peatland</t>
    </r>
  </si>
  <si>
    <t>1274mm</t>
  </si>
  <si>
    <t>Bogong High Plains near Falls Creek in the Victorian Alpine National Parks</t>
  </si>
  <si>
    <t>Royal Melbourne Institute of Technology</t>
  </si>
  <si>
    <t>Running since April 2017</t>
  </si>
  <si>
    <t>Samantha Grover</t>
  </si>
  <si>
    <t>[AU-APL]</t>
  </si>
  <si>
    <t>[-36.8607, 147.3208]</t>
  </si>
  <si>
    <t>https://data.ozflux.org.au/portal/pub/viewColDetails.jspx?collection.id=1884200&amp;collection.owner.id=2024253&amp;viewType=anonymous</t>
  </si>
  <si>
    <t>Boyagin</t>
  </si>
  <si>
    <t>Wandoo woodland (surrounding area dominated by broadacre farming)</t>
  </si>
  <si>
    <t>445mm</t>
  </si>
  <si>
    <t>Boyagin Nature Reserve 12km W of Pingelly, Western Australia</t>
  </si>
  <si>
    <t>University of Western Australia</t>
  </si>
  <si>
    <t>Running since September 2017</t>
  </si>
  <si>
    <t>Jason Beringer</t>
  </si>
  <si>
    <t>[AU-Boy]</t>
  </si>
  <si>
    <t>[-32.4771, 116.9386]</t>
  </si>
  <si>
    <t>https://data.ozflux.org.au/portal/pub/viewColDetails.jspx?collection.id=1883606&amp;collection.owner.id=304&amp;viewType=anonymous</t>
  </si>
  <si>
    <t>Recovering Mallee woodland</t>
  </si>
  <si>
    <t>240mm</t>
  </si>
  <si>
    <t>Calperum Station, 25km NW of Renmark, South Australia</t>
  </si>
  <si>
    <t>University of Adelaide</t>
  </si>
  <si>
    <t>Running since July 2010</t>
  </si>
  <si>
    <t>Wayne Meyer</t>
  </si>
  <si>
    <t>[AU-Cpr]</t>
  </si>
  <si>
    <t>[-34.0027, 140.5877]</t>
  </si>
  <si>
    <t>https://data.ozflux.org.au/portal/pub/viewColDetails.jspx?collection.id=1882712&amp;collection.owner.id=703&amp;viewType=anonymous</t>
  </si>
  <si>
    <t>Cow Bay</t>
  </si>
  <si>
    <t>Complex mesophyll vine forest</t>
  </si>
  <si>
    <t>4000mm</t>
  </si>
  <si>
    <t>Daintree Discovery Centre at Cow Bay, 100km from Cairns, Qld</t>
  </si>
  <si>
    <t>Running since December 2008</t>
  </si>
  <si>
    <t>Michael Liddell</t>
  </si>
  <si>
    <t>[AU-Cow]</t>
  </si>
  <si>
    <t>[-16.238189, 145.427150]</t>
  </si>
  <si>
    <t>(Cairns)</t>
  </si>
  <si>
    <t>https://data.ozflux.org.au/portal/pub/viewColDetails.jspx?collection.id=1882720&amp;collection.owner.id=100&amp;viewType=anonymous</t>
  </si>
  <si>
    <t>Daintree Discovery Centre</t>
  </si>
  <si>
    <t>Dry sclerophyll</t>
  </si>
  <si>
    <t>800mm</t>
  </si>
  <si>
    <t>Hawkesbury Valley in central New South Wales</t>
  </si>
  <si>
    <t>Western Sydney University</t>
  </si>
  <si>
    <t>Running since September 2012</t>
  </si>
  <si>
    <t>Elise Pendall</t>
  </si>
  <si>
    <t>[AU-Cum]</t>
  </si>
  <si>
    <t>[-33.6152, 150.7236]</t>
  </si>
  <si>
    <t>https://data.ozflux.org.au/portal/pub/viewColDetails.jspx?collection.id=1883300&amp;collection.owner.id=2021853&amp;viewType=anonymous</t>
  </si>
  <si>
    <t>Daly River Uncleared</t>
  </si>
  <si>
    <t>Woodland savanna</t>
  </si>
  <si>
    <t>1170mm</t>
  </si>
  <si>
    <t>Douglas River Daly River Esplanade Conservation area, approx. 60km south west of Pine Creek, Northern Territory</t>
  </si>
  <si>
    <t>Running since February 2007</t>
  </si>
  <si>
    <t>Jason Beringer,</t>
  </si>
  <si>
    <t>L1,L2,L3</t>
  </si>
  <si>
    <t>[AU-DaS]</t>
  </si>
  <si>
    <t>[-14.1592, 131.3881]</t>
  </si>
  <si>
    <t>Lindsay Hutley</t>
  </si>
  <si>
    <t>https://data.ozflux.org.au/portal/pub/viewColDetails.jspx?collection.id=1882715&amp;collection.owner.id=304&amp;viewType=anonymous</t>
  </si>
  <si>
    <t>Charles Darwin University</t>
  </si>
  <si>
    <t>Open forest savanna</t>
  </si>
  <si>
    <t>895mm</t>
  </si>
  <si>
    <t>14 - 37</t>
  </si>
  <si>
    <t>approx. 89km south of Katherine, Northern Territory</t>
  </si>
  <si>
    <t>Running since September 2008</t>
  </si>
  <si>
    <t>[AU-Dry]</t>
  </si>
  <si>
    <t>[-15.2588, 132.3706]</t>
  </si>
  <si>
    <t>https://data.ozflux.org.au/portal/pub/viewColDetails.jspx?collection.id=1882702&amp;collection.owner.id=304&amp;viewType=anonymous</t>
  </si>
  <si>
    <t>French Island</t>
  </si>
  <si>
    <t>Saltmarsh</t>
  </si>
  <si>
    <t>540mm</t>
  </si>
  <si>
    <t>South west tip of Franch Island, Victoria</t>
  </si>
  <si>
    <t>Monash University</t>
  </si>
  <si>
    <t>Running since March 2019</t>
  </si>
  <si>
    <t>Matthew Peck,</t>
  </si>
  <si>
    <t>[-38.3879, 145.2783]</t>
  </si>
  <si>
    <t>Leigh Burgess,</t>
  </si>
  <si>
    <t>Ruth Reef</t>
  </si>
  <si>
    <t>Gatum Pasture</t>
  </si>
  <si>
    <r>
      <t>Grazing pasture (predominantly </t>
    </r>
    <r>
      <rPr>
        <i/>
        <sz val="7.7"/>
        <color rgb="FF333333"/>
        <rFont val="Arial"/>
        <family val="2"/>
      </rPr>
      <t>Phalaris aquatica L.</t>
    </r>
    <r>
      <rPr>
        <sz val="7.7"/>
        <color rgb="FF333333"/>
        <rFont val="Arial"/>
        <family val="2"/>
      </rPr>
      <t> and </t>
    </r>
    <r>
      <rPr>
        <i/>
        <sz val="7.7"/>
        <color rgb="FF333333"/>
        <rFont val="Arial"/>
        <family val="2"/>
      </rPr>
      <t>Trifolium subteraneum L.</t>
    </r>
    <r>
      <rPr>
        <sz val="7.7"/>
        <color rgb="FF333333"/>
        <rFont val="Arial"/>
        <family val="2"/>
      </rPr>
      <t>)</t>
    </r>
  </si>
  <si>
    <t>736mm</t>
  </si>
  <si>
    <t>South western Victoria, approximately 260km west of Melbourne</t>
  </si>
  <si>
    <t>Running since January 2015</t>
  </si>
  <si>
    <t>Edoardo Daly,</t>
  </si>
  <si>
    <t>[-37.3903, 141.9716]</t>
  </si>
  <si>
    <t>Ian McHugh</t>
  </si>
  <si>
    <t>https://data.ozflux.org.au/portal/pub/viewColDetails.jspx?collection.id=1884201&amp;collection.owner.id=2024206&amp;viewType=anonymous</t>
  </si>
  <si>
    <t>La Trobe University</t>
  </si>
  <si>
    <r>
      <t>Coastal heath </t>
    </r>
    <r>
      <rPr>
        <i/>
        <sz val="7.7"/>
        <color rgb="FF333333"/>
        <rFont val="Arial"/>
        <family val="2"/>
      </rPr>
      <t>Banksia</t>
    </r>
    <r>
      <rPr>
        <sz val="7.7"/>
        <color rgb="FF333333"/>
        <rFont val="Arial"/>
        <family val="2"/>
      </rPr>
      <t> woodland</t>
    </r>
  </si>
  <si>
    <t>641mm</t>
  </si>
  <si>
    <t>19 - 30</t>
  </si>
  <si>
    <t>Swan Coastal Plain 70km north of Perth, Western Australia</t>
  </si>
  <si>
    <t>Edith Cowan University</t>
  </si>
  <si>
    <t>Running since June 2011</t>
  </si>
  <si>
    <t>Richard Silberstein</t>
  </si>
  <si>
    <t>[AU-Gin]</t>
  </si>
  <si>
    <t>[-31.3764, 115.7139]</t>
  </si>
  <si>
    <t>Great Western Woodlands</t>
  </si>
  <si>
    <t>Temperate woodland, shrubland and mallee</t>
  </si>
  <si>
    <t>Credo Station, 110km NNW of Kalgoorlie, WA</t>
  </si>
  <si>
    <t>CSIRO Environment</t>
  </si>
  <si>
    <t>Active since December 2012</t>
  </si>
  <si>
    <t>Craig Macfarlane,</t>
  </si>
  <si>
    <t>L1,L3</t>
  </si>
  <si>
    <t>[AU-GWW]</t>
  </si>
  <si>
    <t>[-30.1913, 120.6541]</t>
  </si>
  <si>
    <t>Suzanne Prober</t>
  </si>
  <si>
    <t>https://data.ozflux.org.au/portal/pub/viewColDetails.jspx?collection.id=750&amp;collection.owner.id=2024852&amp;viewType=anonymous</t>
  </si>
  <si>
    <t>Tropical savanna (wet)</t>
  </si>
  <si>
    <t>1700mm</t>
  </si>
  <si>
    <t>20 - 33</t>
  </si>
  <si>
    <t>E of Darwin, NT</t>
  </si>
  <si>
    <t>Running since August 2001 data available from 1997</t>
  </si>
  <si>
    <t>[AU-How]</t>
  </si>
  <si>
    <t>[-12.4943, 131.1523]</t>
  </si>
  <si>
    <t>https://data.ozflux.org.au/portal/pub/viewColDetails.jspx?collection.id=1882710&amp;collection.owner.id=304&amp;viewType=anonymous</t>
  </si>
  <si>
    <t>Raised peat bog</t>
  </si>
  <si>
    <t>1262mm</t>
  </si>
  <si>
    <t>lower Hauraki plains of the North Island</t>
  </si>
  <si>
    <t>University of Waikato</t>
  </si>
  <si>
    <t>Running since November 2011</t>
  </si>
  <si>
    <t>Dave Campbell</t>
  </si>
  <si>
    <t>L0</t>
  </si>
  <si>
    <t>[NZ-Kop]</t>
  </si>
  <si>
    <t>[-37.3880, 175.5540]</t>
  </si>
  <si>
    <t>https://data.ozflux.org.au/portal/pub/viewColDetails.jspx?collection.id=1883801&amp;collection.owner.id=2023102&amp;viewType=anonymous</t>
  </si>
  <si>
    <t>Litchfield</t>
  </si>
  <si>
    <t>80 km south of Darwin</t>
  </si>
  <si>
    <t>Running since 2015</t>
  </si>
  <si>
    <t>[AU-Lit]</t>
  </si>
  <si>
    <t>[-13.1790, 130.7945]</t>
  </si>
  <si>
    <t>https://data.ozflux.org.au/portal/pub/viewColDetails.jspx?collection.id=1883302&amp;collection.owner.id=304&amp;viewType=anonymous</t>
  </si>
  <si>
    <t>Oxford</t>
  </si>
  <si>
    <t>Native vegetation regenerating in grassland</t>
  </si>
  <si>
    <t>975mm</t>
  </si>
  <si>
    <t>NW edge of the Canterbury plains, NZ</t>
  </si>
  <si>
    <t>Manaaki Whenua - Landcare Research</t>
  </si>
  <si>
    <t>Running since October 2005</t>
  </si>
  <si>
    <t>John Hunt</t>
  </si>
  <si>
    <t>L5</t>
  </si>
  <si>
    <t>[NZ-Oxf]</t>
  </si>
  <si>
    <t>[-43.2619, 172.2108]</t>
  </si>
  <si>
    <t>https://data.ozflux.org.au/portal/pub/viewColDetails.jspx?collection.id=1883750&amp;collection.owner.id=101&amp;viewType=anonymous</t>
  </si>
  <si>
    <t>Ridgefield</t>
  </si>
  <si>
    <t>Dryland agriculture</t>
  </si>
  <si>
    <t>446mm</t>
  </si>
  <si>
    <t>5.5 - 31.9</t>
  </si>
  <si>
    <t>12km west Pingelly</t>
  </si>
  <si>
    <t>Running since Jan 2015</t>
  </si>
  <si>
    <t>[AU-Rgf]</t>
  </si>
  <si>
    <t>[-32.5061, 116.9668]</t>
  </si>
  <si>
    <t>https://data.ozflux.org.au/portal/pub/viewColDetails.jspx?collection.id=1883400&amp;collection.owner.id=304&amp;viewType=anonymous</t>
  </si>
  <si>
    <t>Robson Creek</t>
  </si>
  <si>
    <t>2236mm</t>
  </si>
  <si>
    <t>approx. 30km northwest of Atherton, Queensland</t>
  </si>
  <si>
    <t>Running since August 2013</t>
  </si>
  <si>
    <t>[AU-Rob]</t>
  </si>
  <si>
    <t>[-17.1175, 145.6301]</t>
  </si>
  <si>
    <t>https://data.ozflux.org.au/portal/pub/viewColDetails.jspx?collection.id=1882719&amp;collection.owner.id=100&amp;viewType=anonymous</t>
  </si>
  <si>
    <t>Samford</t>
  </si>
  <si>
    <r>
      <t>Improved pasture (</t>
    </r>
    <r>
      <rPr>
        <i/>
        <sz val="7.7"/>
        <color rgb="FF333333"/>
        <rFont val="Arial"/>
        <family val="2"/>
      </rPr>
      <t>Paspalum dilatum</t>
    </r>
    <r>
      <rPr>
        <sz val="7.7"/>
        <color rgb="FF333333"/>
        <rFont val="Arial"/>
        <family val="2"/>
      </rPr>
      <t>)</t>
    </r>
  </si>
  <si>
    <t>1102mm</t>
  </si>
  <si>
    <t>13 - 26</t>
  </si>
  <si>
    <t>approx. 3km from Samford village and 20km west of Brisbane CBD in SE Queensland</t>
  </si>
  <si>
    <t>Queensland University of Technology</t>
  </si>
  <si>
    <t>Running since June 2010</t>
  </si>
  <si>
    <t>Peter Grace, Michelle Gane</t>
  </si>
  <si>
    <t>[AU-Sam]</t>
  </si>
  <si>
    <t>[-27.3881, 152.8778]</t>
  </si>
  <si>
    <t>https://data.ozflux.org.au/portal/pub/viewColDetails.jspx?collection.id=200&amp;collection.owner.id=155&amp;viewType=anonymous</t>
  </si>
  <si>
    <t>Scott Farm</t>
  </si>
  <si>
    <t>Pasture</t>
  </si>
  <si>
    <t>1126mm</t>
  </si>
  <si>
    <t>7km northeast of Hamilton on the North Island of New Zealand</t>
  </si>
  <si>
    <t>Running since December 2007</t>
  </si>
  <si>
    <t>Dave Campbell,</t>
  </si>
  <si>
    <t>[NZ-Sco]</t>
  </si>
  <si>
    <t>[-37.46, 175.22]</t>
  </si>
  <si>
    <t>Louis Schipper</t>
  </si>
  <si>
    <t>Silver Plains</t>
  </si>
  <si>
    <t>Grassy sedgeland</t>
  </si>
  <si>
    <t>900mm</t>
  </si>
  <si>
    <t>Interlaken on the Tasmanian central plateau</t>
  </si>
  <si>
    <t>University of Tasmania</t>
  </si>
  <si>
    <t>Running since December 2019</t>
  </si>
  <si>
    <t>Mark Hovenden</t>
  </si>
  <si>
    <t>[AU-Sil]</t>
  </si>
  <si>
    <t>[-42.15, 147.13]</t>
  </si>
  <si>
    <r>
      <t>Low lying plain dominated by </t>
    </r>
    <r>
      <rPr>
        <i/>
        <sz val="7.7"/>
        <color rgb="FF333333"/>
        <rFont val="Arial"/>
        <family val="2"/>
      </rPr>
      <t>Mitchell Grass</t>
    </r>
  </si>
  <si>
    <t>640mm</t>
  </si>
  <si>
    <t>approx. 280km north of Tennant Creek, Northern Territory</t>
  </si>
  <si>
    <t>Running since August 2008</t>
  </si>
  <si>
    <t>[AU-Stp]</t>
  </si>
  <si>
    <t>[-17.1507, 133.3502]</t>
  </si>
  <si>
    <t>https://data.ozflux.org.au/portal/pub/viewColDetails.jspx?collection.id=1882705&amp;collection.owner.id=304&amp;viewType=anonymous</t>
  </si>
  <si>
    <r>
      <t>Grassy mulga woodland and </t>
    </r>
    <r>
      <rPr>
        <i/>
        <sz val="7.7"/>
        <color rgb="FF333333"/>
        <rFont val="Arial"/>
        <family val="2"/>
      </rPr>
      <t>Corymbia/Triodia</t>
    </r>
    <r>
      <rPr>
        <sz val="7.7"/>
        <color rgb="FF333333"/>
        <rFont val="Arial"/>
        <family val="2"/>
      </rPr>
      <t> savanna</t>
    </r>
  </si>
  <si>
    <t>305mm</t>
  </si>
  <si>
    <t>Pine Hill cattle station, Northern Territory</t>
  </si>
  <si>
    <t>Running since July 2012</t>
  </si>
  <si>
    <t>[AU-TTE]</t>
  </si>
  <si>
    <t>[-22.2870, 133.6400]</t>
  </si>
  <si>
    <t>https://data.ozflux.org.au/portal/pub/viewColDetails.jspx?collection.id=704&amp;collection.owner.id=101&amp;viewType=anonymous</t>
  </si>
  <si>
    <t>Wet temperate sclerophyll eucalypt</t>
  </si>
  <si>
    <t>1000mm</t>
  </si>
  <si>
    <t>Near Tumbarumba, NSW</t>
  </si>
  <si>
    <t>University of Queensland</t>
  </si>
  <si>
    <t>Running since May 2000</t>
  </si>
  <si>
    <t>William Woodgate</t>
  </si>
  <si>
    <t>[AU-Tum]</t>
  </si>
  <si>
    <t>[-35.6566, 148.1517]</t>
  </si>
  <si>
    <t>https://data.ozflux.org.au/portal/pub/viewColDetails.jspx?collection.id=1882717&amp;collection.owner.id=2022264&amp;viewType=anonymous</t>
  </si>
  <si>
    <t>Warra</t>
  </si>
  <si>
    <r>
      <t>Eucalyptus obliqua</t>
    </r>
    <r>
      <rPr>
        <sz val="7.7"/>
        <color rgb="FF333333"/>
        <rFont val="Arial"/>
        <family val="2"/>
      </rPr>
      <t> forest</t>
    </r>
  </si>
  <si>
    <t>South western Tasmania</t>
  </si>
  <si>
    <t>Running since March 2013</t>
  </si>
  <si>
    <t>Tim Wardlaw,</t>
  </si>
  <si>
    <t>[AU-Wrr]</t>
  </si>
  <si>
    <t>[-43.0950, 146.6545]</t>
  </si>
  <si>
    <t>Alison Phillips</t>
  </si>
  <si>
    <t>https://data.ozflux.org.au/portal/pub/viewColDetails.jspx?collection.id=1883200&amp;collection.owner.id=2021751&amp;viewType=anonymous</t>
  </si>
  <si>
    <t>Box woodland</t>
  </si>
  <si>
    <t>558mm</t>
  </si>
  <si>
    <t>Approx. 45km south west of Shepparton, Vic.</t>
  </si>
  <si>
    <t>Running since October 2011</t>
  </si>
  <si>
    <t>[AU-Whr]</t>
  </si>
  <si>
    <t>[-36.6732, 145.0294]</t>
  </si>
  <si>
    <t>Stefan Arndt</t>
  </si>
  <si>
    <t>https://data.ozflux.org.au/portal/pub/viewColDetails.jspx?collection.id=1882707&amp;collection.owner.id=304&amp;viewType=anonymous</t>
  </si>
  <si>
    <t>Dry sclerophyll eucalypt forest</t>
  </si>
  <si>
    <t>650mm</t>
  </si>
  <si>
    <t>Wombat State Forest, 100km west of Melbourne, Vic.</t>
  </si>
  <si>
    <t>University of Melbourne</t>
  </si>
  <si>
    <t>Running since January 2010</t>
  </si>
  <si>
    <t>Stefan Arndt,</t>
  </si>
  <si>
    <t>[AU-Wom]</t>
  </si>
  <si>
    <t>[-37.4222, 144.0944]</t>
  </si>
  <si>
    <t>Nina Hinko-Najera</t>
  </si>
  <si>
    <t>https://data.ozflux.org.au/portal/pub/viewColDetails.jspx?collection.id=1882713&amp;collection.owner.id=2021351&amp;viewType=anonymous</t>
  </si>
  <si>
    <t>Department of Sustainability and Environment of Victoria</t>
  </si>
  <si>
    <t>Yanco</t>
  </si>
  <si>
    <t>Topographically flat area, comprised of various soil types</t>
  </si>
  <si>
    <t>465mm</t>
  </si>
  <si>
    <t>Yanco region of New South Wales</t>
  </si>
  <si>
    <t>Running since April 2012</t>
  </si>
  <si>
    <t>[AU-Ync]</t>
  </si>
  <si>
    <t>[-34.9893, 146.2907]</t>
  </si>
  <si>
    <t>https://data.ozflux.org.au/portal/pub/viewColDetails.jspx?collection.id=1882711&amp;collection.owner.id=304&amp;viewType=anonymous</t>
  </si>
  <si>
    <t>Yarramundi</t>
  </si>
  <si>
    <t>Pasture (native and exotic herbaceous perennials)</t>
  </si>
  <si>
    <t>728mm</t>
  </si>
  <si>
    <t>3.6 - 30.4</t>
  </si>
  <si>
    <t>Running since October 2019</t>
  </si>
  <si>
    <t>[-33.6135, 150.7349] &amp; [-33.6208, 150.7633]</t>
  </si>
  <si>
    <t>https://data.ozflux.org.au/portal/pub/viewColDetails.jspx?collection.id=1884051&amp;collection.owner.id=2021653&amp;viewType=anonymous</t>
  </si>
  <si>
    <t>https://data.ozflux.org.au/portal/pub/viewColDetails.jspx?collection.id=1884052&amp;collection.owner.id=2021653&amp;viewType=anonymous</t>
  </si>
  <si>
    <t>https://data.ozflux.org.au/portal/pub/viewColDetails.jspx?collection.id=1882723&amp;collection.owner.id=450&amp;viewType=anonymous</t>
  </si>
  <si>
    <t>metadata</t>
  </si>
  <si>
    <t>field_1</t>
  </si>
  <si>
    <t>KG1</t>
  </si>
  <si>
    <t>Tropical, rainforest</t>
  </si>
  <si>
    <t>[0 0 255]</t>
  </si>
  <si>
    <t>Tropical, monsoon</t>
  </si>
  <si>
    <t>[0 120 255]</t>
  </si>
  <si>
    <t>Tropical, savannah</t>
  </si>
  <si>
    <t>[70 170 250]</t>
  </si>
  <si>
    <t>BWh</t>
  </si>
  <si>
    <t>Arid, desert, hot</t>
  </si>
  <si>
    <t>[255 0 0]</t>
  </si>
  <si>
    <t>BWk</t>
  </si>
  <si>
    <t>Arid, desert, cold</t>
  </si>
  <si>
    <t>[255 150 150]</t>
  </si>
  <si>
    <t>BSh</t>
  </si>
  <si>
    <t>Arid, steppe, hot</t>
  </si>
  <si>
    <t>[245 165 0]</t>
  </si>
  <si>
    <t>BSk</t>
  </si>
  <si>
    <t>Arid, steppe, cold</t>
  </si>
  <si>
    <t>[255 220 100]</t>
  </si>
  <si>
    <t>Temperate, dry summer, hot summer</t>
  </si>
  <si>
    <t>[255 255 0]</t>
  </si>
  <si>
    <t>Temperate, dry summer, warm summer</t>
  </si>
  <si>
    <t>[200 200 0]</t>
  </si>
  <si>
    <t>Csc</t>
  </si>
  <si>
    <t>Temperate, dry summer, cold summer</t>
  </si>
  <si>
    <t>[150 150 0]</t>
  </si>
  <si>
    <t>Temperate, dry winter, hot summer</t>
  </si>
  <si>
    <t>[150 255 150]</t>
  </si>
  <si>
    <t>Cwb</t>
  </si>
  <si>
    <t>Temperate, dry winter, warm summer</t>
  </si>
  <si>
    <t>[100 200 100]</t>
  </si>
  <si>
    <t>Temperate, dry winter, cold summer</t>
  </si>
  <si>
    <t>[50 150 50]</t>
  </si>
  <si>
    <t>Temperate, no dry season, hot summer</t>
  </si>
  <si>
    <t>[200 255 80]</t>
  </si>
  <si>
    <t>Temperate, no dry season, warm summer</t>
  </si>
  <si>
    <t>[100 255 80]</t>
  </si>
  <si>
    <t>Temperate, no dry season, cold summer</t>
  </si>
  <si>
    <t>[50 200 0]</t>
  </si>
  <si>
    <t>Cold, dry summer, hot summer</t>
  </si>
  <si>
    <t>[255 0 255]</t>
  </si>
  <si>
    <t>Cold, dry summer, warm summer</t>
  </si>
  <si>
    <t>[200 0 200]</t>
  </si>
  <si>
    <t>Cold, dry summer, cold summer</t>
  </si>
  <si>
    <t>[150 50 150]</t>
  </si>
  <si>
    <t>Dsd</t>
  </si>
  <si>
    <t>Cold, dry summer, very cold winter</t>
  </si>
  <si>
    <t>[150 100 150]</t>
  </si>
  <si>
    <t>Cold, dry winter, hot summer</t>
  </si>
  <si>
    <t>[170 175 255]</t>
  </si>
  <si>
    <t>Cold, dry winter, warm summer</t>
  </si>
  <si>
    <t>[90 120 220]</t>
  </si>
  <si>
    <t>Cold, dry winter, cold summer</t>
  </si>
  <si>
    <t>[75 80 180]</t>
  </si>
  <si>
    <t>Cold, dry winter, very cold winter</t>
  </si>
  <si>
    <t>[50 0 135]</t>
  </si>
  <si>
    <t>Cold, no dry season, hot summer</t>
  </si>
  <si>
    <t>[0 255 255]</t>
  </si>
  <si>
    <t>Cold, no dry season, warm summer</t>
  </si>
  <si>
    <t>[55 200 255]</t>
  </si>
  <si>
    <t>Cold, no dry season, cold summer</t>
  </si>
  <si>
    <t>[0 125 125]</t>
  </si>
  <si>
    <t>Cold, no dry season, very cold winter</t>
  </si>
  <si>
    <t>[0 70 95]</t>
  </si>
  <si>
    <t>Polar, tundra</t>
  </si>
  <si>
    <t>[178 178 178]</t>
  </si>
  <si>
    <t>EF</t>
  </si>
  <si>
    <t>Polar, frost</t>
  </si>
  <si>
    <t>[102 102 102]</t>
  </si>
  <si>
    <t>Code</t>
  </si>
  <si>
    <t>Class</t>
  </si>
  <si>
    <t>Crop type</t>
  </si>
  <si>
    <t>Irrigation</t>
  </si>
  <si>
    <t>Corn</t>
  </si>
  <si>
    <t>winter wheat, corn, soy, alfalfa</t>
  </si>
  <si>
    <t xml:space="preserve">alfalfa </t>
  </si>
  <si>
    <t>Alfafa</t>
  </si>
  <si>
    <t>winter wheat, millet, and maize</t>
  </si>
  <si>
    <t>Wheat / Garbanzo</t>
  </si>
  <si>
    <t>None</t>
  </si>
  <si>
    <t>Maize</t>
  </si>
  <si>
    <t>Center-Pivot</t>
  </si>
  <si>
    <t>Maize / Soy</t>
  </si>
  <si>
    <t>Maize / Soy / Clover</t>
  </si>
  <si>
    <t>Potato</t>
  </si>
  <si>
    <t>alfalfa, corn, soybean and wheat,</t>
  </si>
  <si>
    <t>rice</t>
  </si>
  <si>
    <t>corn-soybean-wheat-hay rotation.</t>
  </si>
  <si>
    <t>corn-soybean rotation</t>
  </si>
  <si>
    <t>corn-soy rotation</t>
  </si>
  <si>
    <t>mid-grain japonica rice </t>
  </si>
  <si>
    <t>medium-grain brown rice </t>
  </si>
  <si>
    <t>Wheat</t>
  </si>
  <si>
    <t>sugar beet, winter wheat, potato, winter wheat (4-year rotation)</t>
  </si>
  <si>
    <t>winter wheat, spring barley, and spring oats</t>
  </si>
  <si>
    <t>Winter wheat, barley, clover, grass (Swiss Integrated Pest Management regime)</t>
  </si>
  <si>
    <t>Lay, grass, wheat</t>
  </si>
  <si>
    <t>Wheat, potato</t>
  </si>
  <si>
    <t>Maize, bean, rapeseed</t>
  </si>
  <si>
    <t>Wheat, maize</t>
  </si>
  <si>
    <t>Rapeseed, wheat, sunflower</t>
  </si>
  <si>
    <t xml:space="preserve"> forage grass </t>
  </si>
  <si>
    <t>corn and forage</t>
  </si>
  <si>
    <t>Climate_l1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</si>
</sst>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color rgb="FF1F1F1F"/>
      <name val="Calibri"/>
      <family val="2"/>
      <scheme val="minor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333333"/>
      <name val="Arial"/>
      <family val="2"/>
    </font>
    <font>
      <b/>
      <sz val="7.7"/>
      <color rgb="FF333333"/>
      <name val="Arial"/>
      <family val="2"/>
    </font>
    <font>
      <b/>
      <sz val="7.7"/>
      <color rgb="FF000000"/>
      <name val="Arial"/>
      <family val="2"/>
    </font>
    <font>
      <sz val="7.7"/>
      <color rgb="FF333333"/>
      <name val="Arial"/>
      <family val="2"/>
    </font>
    <font>
      <sz val="7.7"/>
      <color rgb="FF000000"/>
      <name val="Arial"/>
      <family val="2"/>
    </font>
    <font>
      <i/>
      <sz val="7.7"/>
      <color rgb="FF33333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1F3FC"/>
        <bgColor indexed="64"/>
      </patternFill>
    </fill>
    <fill>
      <patternFill patternType="solid">
        <fgColor rgb="FFF4F4F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rgb="FFDDDDDD"/>
      </left>
      <right style="medium">
        <color rgb="FFCCCCCC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CCCCCC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333333"/>
      </left>
      <right style="dotted">
        <color rgb="FF666666"/>
      </right>
      <top style="medium">
        <color rgb="FF333333"/>
      </top>
      <bottom/>
      <diagonal/>
    </border>
    <border>
      <left style="dotted">
        <color rgb="FF666666"/>
      </left>
      <right style="dotted">
        <color rgb="FF666666"/>
      </right>
      <top style="medium">
        <color rgb="FF333333"/>
      </top>
      <bottom/>
      <diagonal/>
    </border>
    <border>
      <left style="dotted">
        <color rgb="FF666666"/>
      </left>
      <right style="dotted">
        <color rgb="FF999999"/>
      </right>
      <top style="medium">
        <color rgb="FF333333"/>
      </top>
      <bottom/>
      <diagonal/>
    </border>
    <border>
      <left style="dotted">
        <color rgb="FF666666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dotted">
        <color rgb="FF666666"/>
      </right>
      <top/>
      <bottom style="dotted">
        <color rgb="FF666666"/>
      </bottom>
      <diagonal/>
    </border>
    <border>
      <left style="dotted">
        <color rgb="FF666666"/>
      </left>
      <right style="dotted">
        <color rgb="FF666666"/>
      </right>
      <top/>
      <bottom style="dotted">
        <color rgb="FF666666"/>
      </bottom>
      <diagonal/>
    </border>
    <border>
      <left style="dotted">
        <color rgb="FF666666"/>
      </left>
      <right style="dotted">
        <color rgb="FF999999"/>
      </right>
      <top/>
      <bottom style="dotted">
        <color rgb="FF666666"/>
      </bottom>
      <diagonal/>
    </border>
    <border>
      <left style="dotted">
        <color rgb="FF666666"/>
      </left>
      <right style="medium">
        <color rgb="FF333333"/>
      </right>
      <top/>
      <bottom style="dotted">
        <color rgb="FF666666"/>
      </bottom>
      <diagonal/>
    </border>
    <border>
      <left style="medium">
        <color rgb="FF333333"/>
      </left>
      <right style="dotted">
        <color rgb="FF666666"/>
      </right>
      <top/>
      <bottom/>
      <diagonal/>
    </border>
    <border>
      <left style="dotted">
        <color rgb="FF666666"/>
      </left>
      <right style="dotted">
        <color rgb="FF666666"/>
      </right>
      <top/>
      <bottom/>
      <diagonal/>
    </border>
    <border>
      <left style="dotted">
        <color rgb="FF666666"/>
      </left>
      <right/>
      <top/>
      <bottom/>
      <diagonal/>
    </border>
    <border>
      <left style="dotted">
        <color rgb="FF666666"/>
      </left>
      <right style="medium">
        <color rgb="FF333333"/>
      </right>
      <top/>
      <bottom/>
      <diagonal/>
    </border>
    <border>
      <left style="medium">
        <color rgb="FF333333"/>
      </left>
      <right style="dotted">
        <color rgb="FF666666"/>
      </right>
      <top style="dotted">
        <color rgb="FF666666"/>
      </top>
      <bottom/>
      <diagonal/>
    </border>
    <border>
      <left style="dotted">
        <color rgb="FF666666"/>
      </left>
      <right style="dotted">
        <color rgb="FF666666"/>
      </right>
      <top style="dotted">
        <color rgb="FF666666"/>
      </top>
      <bottom/>
      <diagonal/>
    </border>
    <border>
      <left style="dotted">
        <color rgb="FF666666"/>
      </left>
      <right style="medium">
        <color rgb="FF333333"/>
      </right>
      <top style="dotted">
        <color rgb="FF666666"/>
      </top>
      <bottom/>
      <diagonal/>
    </border>
    <border>
      <left style="medium">
        <color rgb="FF333333"/>
      </left>
      <right style="dotted">
        <color rgb="FF666666"/>
      </right>
      <top/>
      <bottom style="medium">
        <color rgb="FF333333"/>
      </bottom>
      <diagonal/>
    </border>
    <border>
      <left style="dotted">
        <color rgb="FF666666"/>
      </left>
      <right style="dotted">
        <color rgb="FF666666"/>
      </right>
      <top/>
      <bottom style="medium">
        <color rgb="FF333333"/>
      </bottom>
      <diagonal/>
    </border>
    <border>
      <left style="dotted">
        <color rgb="FF666666"/>
      </left>
      <right style="medium">
        <color rgb="FF333333"/>
      </right>
      <top/>
      <bottom style="medium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0" xfId="0" applyFont="1" applyFill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3" borderId="0" xfId="0" applyFill="1"/>
    <xf numFmtId="0" fontId="0" fillId="4" borderId="0" xfId="0" applyFill="1"/>
    <xf numFmtId="0" fontId="5" fillId="5" borderId="3" xfId="1" applyFill="1" applyBorder="1" applyAlignment="1">
      <alignment horizontal="left" vertical="top"/>
    </xf>
    <xf numFmtId="0" fontId="5" fillId="5" borderId="3" xfId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 wrapText="1"/>
    </xf>
    <xf numFmtId="0" fontId="5" fillId="2" borderId="3" xfId="1" applyFill="1" applyBorder="1" applyAlignment="1">
      <alignment horizontal="left" vertical="top"/>
    </xf>
    <xf numFmtId="0" fontId="5" fillId="2" borderId="3" xfId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5" fillId="5" borderId="5" xfId="1" applyFill="1" applyBorder="1" applyAlignment="1">
      <alignment horizontal="left" vertical="top"/>
    </xf>
    <xf numFmtId="0" fontId="5" fillId="5" borderId="5" xfId="1" applyFill="1" applyBorder="1" applyAlignment="1">
      <alignment horizontal="left" vertical="top" wrapText="1"/>
    </xf>
    <xf numFmtId="0" fontId="4" fillId="5" borderId="5" xfId="0" applyFont="1" applyFill="1" applyBorder="1" applyAlignment="1">
      <alignment horizontal="left" vertical="top"/>
    </xf>
    <xf numFmtId="0" fontId="4" fillId="5" borderId="5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8" fillId="6" borderId="10" xfId="0" applyFont="1" applyFill="1" applyBorder="1" applyAlignment="1">
      <alignment horizontal="left" wrapText="1"/>
    </xf>
    <xf numFmtId="0" fontId="8" fillId="6" borderId="14" xfId="0" applyFont="1" applyFill="1" applyBorder="1" applyAlignment="1">
      <alignment horizontal="left" wrapText="1"/>
    </xf>
    <xf numFmtId="0" fontId="9" fillId="6" borderId="16" xfId="0" applyFont="1" applyFill="1" applyBorder="1" applyAlignment="1">
      <alignment horizontal="left" wrapText="1"/>
    </xf>
    <xf numFmtId="0" fontId="10" fillId="6" borderId="17" xfId="0" applyFont="1" applyFill="1" applyBorder="1" applyAlignment="1">
      <alignment horizontal="left" wrapText="1"/>
    </xf>
    <xf numFmtId="0" fontId="10" fillId="6" borderId="18" xfId="0" applyFont="1" applyFill="1" applyBorder="1" applyAlignment="1">
      <alignment horizontal="left" wrapText="1"/>
    </xf>
    <xf numFmtId="0" fontId="10" fillId="6" borderId="19" xfId="0" applyFont="1" applyFill="1" applyBorder="1" applyAlignment="1">
      <alignment horizontal="left" wrapText="1"/>
    </xf>
    <xf numFmtId="0" fontId="5" fillId="0" borderId="20" xfId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14" fontId="0" fillId="0" borderId="0" xfId="0" applyNumberFormat="1"/>
    <xf numFmtId="0" fontId="5" fillId="0" borderId="12" xfId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5" fillId="0" borderId="16" xfId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5" fillId="0" borderId="22" xfId="1" applyBorder="1" applyAlignment="1">
      <alignment horizontal="left" vertical="center" wrapText="1"/>
    </xf>
    <xf numFmtId="0" fontId="5" fillId="0" borderId="19" xfId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5" fillId="0" borderId="15" xfId="1" applyBorder="1" applyAlignment="1">
      <alignment horizontal="left" vertical="center" wrapText="1"/>
    </xf>
    <xf numFmtId="0" fontId="5" fillId="0" borderId="0" xfId="1"/>
    <xf numFmtId="0" fontId="0" fillId="0" borderId="17" xfId="0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7" borderId="21" xfId="0" applyFont="1" applyFill="1" applyBorder="1" applyAlignment="1">
      <alignment horizontal="left" vertical="center" wrapText="1"/>
    </xf>
    <xf numFmtId="0" fontId="9" fillId="7" borderId="24" xfId="0" applyFont="1" applyFill="1" applyBorder="1" applyAlignment="1">
      <alignment horizontal="left" vertical="center" wrapText="1"/>
    </xf>
    <xf numFmtId="0" fontId="1" fillId="0" borderId="0" xfId="0" applyFont="1"/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5" fillId="0" borderId="22" xfId="1" applyBorder="1" applyAlignment="1">
      <alignment horizontal="left" vertical="center" wrapText="1"/>
    </xf>
    <xf numFmtId="0" fontId="5" fillId="0" borderId="15" xfId="1" applyBorder="1" applyAlignment="1">
      <alignment horizontal="left" vertical="center" wrapText="1"/>
    </xf>
    <xf numFmtId="0" fontId="5" fillId="7" borderId="20" xfId="1" applyFill="1" applyBorder="1" applyAlignment="1">
      <alignment horizontal="left" vertical="center" wrapText="1"/>
    </xf>
    <xf numFmtId="0" fontId="5" fillId="7" borderId="23" xfId="1" applyFill="1" applyBorder="1" applyAlignment="1">
      <alignment horizontal="left" vertical="center" wrapText="1"/>
    </xf>
    <xf numFmtId="0" fontId="9" fillId="7" borderId="21" xfId="0" applyFont="1" applyFill="1" applyBorder="1" applyAlignment="1">
      <alignment horizontal="left" vertical="center" wrapText="1"/>
    </xf>
    <xf numFmtId="0" fontId="9" fillId="7" borderId="24" xfId="0" applyFont="1" applyFill="1" applyBorder="1" applyAlignment="1">
      <alignment horizontal="left" vertical="center" wrapText="1"/>
    </xf>
    <xf numFmtId="0" fontId="5" fillId="7" borderId="22" xfId="1" applyFill="1" applyBorder="1" applyAlignment="1">
      <alignment horizontal="left" vertical="center" wrapText="1"/>
    </xf>
    <xf numFmtId="0" fontId="5" fillId="7" borderId="25" xfId="1" applyFill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17" fontId="9" fillId="0" borderId="21" xfId="0" applyNumberFormat="1" applyFont="1" applyBorder="1" applyAlignment="1">
      <alignment horizontal="left" vertical="center" wrapText="1"/>
    </xf>
    <xf numFmtId="17" fontId="9" fillId="0" borderId="17" xfId="0" applyNumberFormat="1" applyFont="1" applyBorder="1" applyAlignment="1">
      <alignment horizontal="left" vertical="center" wrapText="1"/>
    </xf>
    <xf numFmtId="17" fontId="9" fillId="0" borderId="13" xfId="0" applyNumberFormat="1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5" fillId="0" borderId="20" xfId="1" applyBorder="1" applyAlignment="1">
      <alignment horizontal="left" vertical="center" wrapText="1"/>
    </xf>
    <xf numFmtId="0" fontId="5" fillId="0" borderId="16" xfId="1" applyBorder="1" applyAlignment="1">
      <alignment horizontal="left" vertical="center" wrapText="1"/>
    </xf>
    <xf numFmtId="0" fontId="5" fillId="0" borderId="12" xfId="1" applyBorder="1" applyAlignment="1">
      <alignment horizontal="left" vertical="center" wrapText="1"/>
    </xf>
    <xf numFmtId="0" fontId="5" fillId="0" borderId="19" xfId="1" applyBorder="1" applyAlignment="1">
      <alignment horizontal="left" vertical="center" wrapText="1"/>
    </xf>
    <xf numFmtId="0" fontId="8" fillId="6" borderId="11" xfId="0" applyFont="1" applyFill="1" applyBorder="1" applyAlignment="1">
      <alignment horizontal="left" wrapText="1"/>
    </xf>
    <xf numFmtId="0" fontId="8" fillId="6" borderId="15" xfId="0" applyFont="1" applyFill="1" applyBorder="1" applyAlignment="1">
      <alignment horizontal="left" wrapText="1"/>
    </xf>
    <xf numFmtId="0" fontId="7" fillId="6" borderId="8" xfId="0" applyFont="1" applyFill="1" applyBorder="1" applyAlignment="1">
      <alignment horizontal="left" wrapText="1"/>
    </xf>
    <xf numFmtId="0" fontId="7" fillId="6" borderId="12" xfId="0" applyFont="1" applyFill="1" applyBorder="1" applyAlignment="1">
      <alignment horizontal="left" wrapText="1"/>
    </xf>
    <xf numFmtId="0" fontId="8" fillId="6" borderId="9" xfId="0" applyFont="1" applyFill="1" applyBorder="1" applyAlignment="1">
      <alignment horizontal="left" wrapText="1"/>
    </xf>
    <xf numFmtId="0" fontId="8" fillId="6" borderId="13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Lindsay.Hutley@cdu.edu.au" TargetMode="External"/><Relationship Id="rId21" Type="http://schemas.openxmlformats.org/officeDocument/2006/relationships/hyperlink" Target="mailto:jason.beringer@uwa.edu.au" TargetMode="External"/><Relationship Id="rId42" Type="http://schemas.openxmlformats.org/officeDocument/2006/relationships/hyperlink" Target="https://ozflux.org.au/monitoringsites/howardsprings/index.html" TargetMode="External"/><Relationship Id="rId47" Type="http://schemas.openxmlformats.org/officeDocument/2006/relationships/hyperlink" Target="mailto:davec@waikato.ac.nz" TargetMode="External"/><Relationship Id="rId63" Type="http://schemas.openxmlformats.org/officeDocument/2006/relationships/hyperlink" Target="https://ozflux.org.au/monitoringsites/scottfarm/index.html" TargetMode="External"/><Relationship Id="rId68" Type="http://schemas.openxmlformats.org/officeDocument/2006/relationships/hyperlink" Target="https://ozflux.org.au/monitoringsites/silverplains/index.html" TargetMode="External"/><Relationship Id="rId84" Type="http://schemas.openxmlformats.org/officeDocument/2006/relationships/hyperlink" Target="https://ozflux.org.au/monitoringsites/whroo/index.html" TargetMode="External"/><Relationship Id="rId89" Type="http://schemas.openxmlformats.org/officeDocument/2006/relationships/hyperlink" Target="https://ozflux.org.au/monitoringsites/wombat/index.html" TargetMode="External"/><Relationship Id="rId16" Type="http://schemas.openxmlformats.org/officeDocument/2006/relationships/hyperlink" Target="https://ozflux.org.au/monitoringsites/cumberlandplain/index.html" TargetMode="External"/><Relationship Id="rId11" Type="http://schemas.openxmlformats.org/officeDocument/2006/relationships/hyperlink" Target="https://ozflux.org.au/monitoringsites/calperum/index.html" TargetMode="External"/><Relationship Id="rId32" Type="http://schemas.openxmlformats.org/officeDocument/2006/relationships/hyperlink" Target="mailto:Edoardo.Daly@monash.edu" TargetMode="External"/><Relationship Id="rId37" Type="http://schemas.openxmlformats.org/officeDocument/2006/relationships/hyperlink" Target="https://ozflux.org.au/monitoringsites/gww/index.html" TargetMode="External"/><Relationship Id="rId53" Type="http://schemas.openxmlformats.org/officeDocument/2006/relationships/hyperlink" Target="https://ozflux.org.au/monitoringsites/oxford/index.html" TargetMode="External"/><Relationship Id="rId58" Type="http://schemas.openxmlformats.org/officeDocument/2006/relationships/hyperlink" Target="https://ozflux.org.au/monitoringsites/robsoncreek/index.html" TargetMode="External"/><Relationship Id="rId74" Type="http://schemas.openxmlformats.org/officeDocument/2006/relationships/hyperlink" Target="https://ozflux.org.au/monitoringsites/titreeeast/index.html" TargetMode="External"/><Relationship Id="rId79" Type="http://schemas.openxmlformats.org/officeDocument/2006/relationships/hyperlink" Target="mailto:w.woodgate@uq.edu.au" TargetMode="External"/><Relationship Id="rId5" Type="http://schemas.openxmlformats.org/officeDocument/2006/relationships/hyperlink" Target="https://ozflux.org.au/monitoringsites/alpinepeatland/index.html" TargetMode="External"/><Relationship Id="rId90" Type="http://schemas.openxmlformats.org/officeDocument/2006/relationships/hyperlink" Target="mailto:sarndt@unimelb.edu.au" TargetMode="External"/><Relationship Id="rId95" Type="http://schemas.openxmlformats.org/officeDocument/2006/relationships/hyperlink" Target="https://ozflux.org.au/monitoringsites/yarramundi/index.html" TargetMode="External"/><Relationship Id="rId22" Type="http://schemas.openxmlformats.org/officeDocument/2006/relationships/hyperlink" Target="mailto:Lindsay.Hutley@cdu.edu.au" TargetMode="External"/><Relationship Id="rId27" Type="http://schemas.openxmlformats.org/officeDocument/2006/relationships/hyperlink" Target="https://ozflux.org.au/monitoringsites/frenchisland/index.html" TargetMode="External"/><Relationship Id="rId43" Type="http://schemas.openxmlformats.org/officeDocument/2006/relationships/hyperlink" Target="mailto:jason.beringer@uwa.edu.au" TargetMode="External"/><Relationship Id="rId48" Type="http://schemas.openxmlformats.org/officeDocument/2006/relationships/hyperlink" Target="https://ozflux.org.au/monitoringsites/litchfield/index.html" TargetMode="External"/><Relationship Id="rId64" Type="http://schemas.openxmlformats.org/officeDocument/2006/relationships/hyperlink" Target="https://ozflux.org.au/monitoringsites/scottfarm/index.html" TargetMode="External"/><Relationship Id="rId69" Type="http://schemas.openxmlformats.org/officeDocument/2006/relationships/hyperlink" Target="mailto:mark.hovenden@utas.edu.au" TargetMode="External"/><Relationship Id="rId80" Type="http://schemas.openxmlformats.org/officeDocument/2006/relationships/hyperlink" Target="https://ozflux.org.au/monitoringsites/warra/index.html" TargetMode="External"/><Relationship Id="rId85" Type="http://schemas.openxmlformats.org/officeDocument/2006/relationships/hyperlink" Target="https://ozflux.org.au/monitoringsites/whroo/index.html" TargetMode="External"/><Relationship Id="rId3" Type="http://schemas.openxmlformats.org/officeDocument/2006/relationships/hyperlink" Target="mailto:dr.jr.cleverly@gmail.com" TargetMode="External"/><Relationship Id="rId12" Type="http://schemas.openxmlformats.org/officeDocument/2006/relationships/hyperlink" Target="mailto:wayne.meyer@adelaide.edu.au" TargetMode="External"/><Relationship Id="rId17" Type="http://schemas.openxmlformats.org/officeDocument/2006/relationships/hyperlink" Target="https://ozflux.org.au/monitoringsites/cumberlandplain/index.html" TargetMode="External"/><Relationship Id="rId25" Type="http://schemas.openxmlformats.org/officeDocument/2006/relationships/hyperlink" Target="mailto:jason.beringer@uwa.edu.au" TargetMode="External"/><Relationship Id="rId33" Type="http://schemas.openxmlformats.org/officeDocument/2006/relationships/hyperlink" Target="mailto:mailto:ian.mchugh@unimelb.edu.au" TargetMode="External"/><Relationship Id="rId38" Type="http://schemas.openxmlformats.org/officeDocument/2006/relationships/hyperlink" Target="https://ozflux.org.au/monitoringsites/gww/index.html" TargetMode="External"/><Relationship Id="rId46" Type="http://schemas.openxmlformats.org/officeDocument/2006/relationships/hyperlink" Target="https://ozflux.org.au/monitoringsites/kopuatai/index.html" TargetMode="External"/><Relationship Id="rId59" Type="http://schemas.openxmlformats.org/officeDocument/2006/relationships/hyperlink" Target="https://ozflux.org.au/monitoringsites/robsoncreek/index.html" TargetMode="External"/><Relationship Id="rId67" Type="http://schemas.openxmlformats.org/officeDocument/2006/relationships/hyperlink" Target="https://ozflux.org.au/monitoringsites/silverplains/index.html" TargetMode="External"/><Relationship Id="rId20" Type="http://schemas.openxmlformats.org/officeDocument/2006/relationships/hyperlink" Target="https://ozflux.org.au/monitoringsites/dalyuncleared/index.html" TargetMode="External"/><Relationship Id="rId41" Type="http://schemas.openxmlformats.org/officeDocument/2006/relationships/hyperlink" Target="https://ozflux.org.au/monitoringsites/howardsprings/index.html" TargetMode="External"/><Relationship Id="rId54" Type="http://schemas.openxmlformats.org/officeDocument/2006/relationships/hyperlink" Target="mailto:HuntJ@landcareresearch.co.nz" TargetMode="External"/><Relationship Id="rId62" Type="http://schemas.openxmlformats.org/officeDocument/2006/relationships/hyperlink" Target="https://ozflux.org.au/monitoringsites/samford/index.html" TargetMode="External"/><Relationship Id="rId70" Type="http://schemas.openxmlformats.org/officeDocument/2006/relationships/hyperlink" Target="https://ozflux.org.au/monitoringsites/sturtplains/index.html" TargetMode="External"/><Relationship Id="rId75" Type="http://schemas.openxmlformats.org/officeDocument/2006/relationships/hyperlink" Target="https://ozflux.org.au/monitoringsites/titreeeast/index.html" TargetMode="External"/><Relationship Id="rId83" Type="http://schemas.openxmlformats.org/officeDocument/2006/relationships/hyperlink" Target="mailto:Alison.Phillips@sttas.com.au" TargetMode="External"/><Relationship Id="rId88" Type="http://schemas.openxmlformats.org/officeDocument/2006/relationships/hyperlink" Target="https://ozflux.org.au/monitoringsites/wombat/index.html" TargetMode="External"/><Relationship Id="rId91" Type="http://schemas.openxmlformats.org/officeDocument/2006/relationships/hyperlink" Target="mailto:n.hinkonajera@unimelb.edu.au" TargetMode="External"/><Relationship Id="rId96" Type="http://schemas.openxmlformats.org/officeDocument/2006/relationships/hyperlink" Target="mailto:E.Pendall@westernsydney.edu.au" TargetMode="External"/><Relationship Id="rId1" Type="http://schemas.openxmlformats.org/officeDocument/2006/relationships/hyperlink" Target="https://ozflux.org.au/monitoringsites/alicesprings/index.html" TargetMode="External"/><Relationship Id="rId6" Type="http://schemas.openxmlformats.org/officeDocument/2006/relationships/hyperlink" Target="mailto:samantha.grover@rmit.edu.au" TargetMode="External"/><Relationship Id="rId15" Type="http://schemas.openxmlformats.org/officeDocument/2006/relationships/hyperlink" Target="mailto:michael.liddell@jcu.edu.au" TargetMode="External"/><Relationship Id="rId23" Type="http://schemas.openxmlformats.org/officeDocument/2006/relationships/hyperlink" Target="https://ozflux.org.au/monitoringsites/dryriver/index.html" TargetMode="External"/><Relationship Id="rId28" Type="http://schemas.openxmlformats.org/officeDocument/2006/relationships/hyperlink" Target="mailto:matthew.peck@monash.edu" TargetMode="External"/><Relationship Id="rId36" Type="http://schemas.openxmlformats.org/officeDocument/2006/relationships/hyperlink" Target="mailto:r.silberstein@ecu.edu.au" TargetMode="External"/><Relationship Id="rId49" Type="http://schemas.openxmlformats.org/officeDocument/2006/relationships/hyperlink" Target="https://ozflux.org.au/monitoringsites/litchfield/index.html" TargetMode="External"/><Relationship Id="rId57" Type="http://schemas.openxmlformats.org/officeDocument/2006/relationships/hyperlink" Target="mailto:jason.beringer@uwa.edu.au" TargetMode="External"/><Relationship Id="rId10" Type="http://schemas.openxmlformats.org/officeDocument/2006/relationships/hyperlink" Target="https://ozflux.org.au/monitoringsites/calperum/index.html" TargetMode="External"/><Relationship Id="rId31" Type="http://schemas.openxmlformats.org/officeDocument/2006/relationships/hyperlink" Target="https://ozflux.org.au/monitoringsites/gatumpasture/index.html" TargetMode="External"/><Relationship Id="rId44" Type="http://schemas.openxmlformats.org/officeDocument/2006/relationships/hyperlink" Target="mailto:Lindsay.Hutley@cdu.edu.au" TargetMode="External"/><Relationship Id="rId52" Type="http://schemas.openxmlformats.org/officeDocument/2006/relationships/hyperlink" Target="https://ozflux.org.au/monitoringsites/oxford/index.html" TargetMode="External"/><Relationship Id="rId60" Type="http://schemas.openxmlformats.org/officeDocument/2006/relationships/hyperlink" Target="mailto:michael.liddell@jcu.edu.au" TargetMode="External"/><Relationship Id="rId65" Type="http://schemas.openxmlformats.org/officeDocument/2006/relationships/hyperlink" Target="mailto:davec@waikato.ac.nz" TargetMode="External"/><Relationship Id="rId73" Type="http://schemas.openxmlformats.org/officeDocument/2006/relationships/hyperlink" Target="mailto:Lindsay.Hutley@cdu.edu.au" TargetMode="External"/><Relationship Id="rId78" Type="http://schemas.openxmlformats.org/officeDocument/2006/relationships/hyperlink" Target="https://ozflux.org.au/monitoringsites/tumbarumba/index.html" TargetMode="External"/><Relationship Id="rId81" Type="http://schemas.openxmlformats.org/officeDocument/2006/relationships/hyperlink" Target="https://ozflux.org.au/monitoringsites/warra/index.html" TargetMode="External"/><Relationship Id="rId86" Type="http://schemas.openxmlformats.org/officeDocument/2006/relationships/hyperlink" Target="mailto:jason.beringer@uwa.edu.au" TargetMode="External"/><Relationship Id="rId94" Type="http://schemas.openxmlformats.org/officeDocument/2006/relationships/hyperlink" Target="mailto:jason.beringer@uwa.edu.au" TargetMode="External"/><Relationship Id="rId4" Type="http://schemas.openxmlformats.org/officeDocument/2006/relationships/hyperlink" Target="https://ozflux.org.au/monitoringsites/alpinepeatland/index.html" TargetMode="External"/><Relationship Id="rId9" Type="http://schemas.openxmlformats.org/officeDocument/2006/relationships/hyperlink" Target="mailto:jason.beringer@uwa.edu.au" TargetMode="External"/><Relationship Id="rId13" Type="http://schemas.openxmlformats.org/officeDocument/2006/relationships/hyperlink" Target="https://ozflux.org.au/monitoringsites/cowbay/index.html" TargetMode="External"/><Relationship Id="rId18" Type="http://schemas.openxmlformats.org/officeDocument/2006/relationships/hyperlink" Target="mailto:E.Pendall@westernsydney.edu.au" TargetMode="External"/><Relationship Id="rId39" Type="http://schemas.openxmlformats.org/officeDocument/2006/relationships/hyperlink" Target="mailto:Craig.Macfarlane@csiro.au" TargetMode="External"/><Relationship Id="rId34" Type="http://schemas.openxmlformats.org/officeDocument/2006/relationships/hyperlink" Target="https://ozflux.org.au/monitoringsites/gingin/index.html" TargetMode="External"/><Relationship Id="rId50" Type="http://schemas.openxmlformats.org/officeDocument/2006/relationships/hyperlink" Target="mailto:jason.beringer@uwa.edu.au" TargetMode="External"/><Relationship Id="rId55" Type="http://schemas.openxmlformats.org/officeDocument/2006/relationships/hyperlink" Target="https://ozflux.org.au/monitoringsites/ridgefield/index.html" TargetMode="External"/><Relationship Id="rId76" Type="http://schemas.openxmlformats.org/officeDocument/2006/relationships/hyperlink" Target="mailto:dr.jr.cleverly@gmail.com" TargetMode="External"/><Relationship Id="rId97" Type="http://schemas.openxmlformats.org/officeDocument/2006/relationships/hyperlink" Target="https://data.ozflux.org.au/portal/pub/viewColDetails.jspx?collection.id=750&amp;collection.owner.id=2024852&amp;viewType=anonymous" TargetMode="External"/><Relationship Id="rId7" Type="http://schemas.openxmlformats.org/officeDocument/2006/relationships/hyperlink" Target="https://ozflux.org.au/monitoringsites/boyagin/index.html" TargetMode="External"/><Relationship Id="rId71" Type="http://schemas.openxmlformats.org/officeDocument/2006/relationships/hyperlink" Target="https://ozflux.org.au/monitoringsites/sturtplains/index.html" TargetMode="External"/><Relationship Id="rId92" Type="http://schemas.openxmlformats.org/officeDocument/2006/relationships/hyperlink" Target="https://ozflux.org.au/monitoringsites/yanco/index.html" TargetMode="External"/><Relationship Id="rId2" Type="http://schemas.openxmlformats.org/officeDocument/2006/relationships/hyperlink" Target="https://ozflux.org.au/monitoringsites/alicesprings/index.html" TargetMode="External"/><Relationship Id="rId29" Type="http://schemas.openxmlformats.org/officeDocument/2006/relationships/hyperlink" Target="mailto:leigh.burgess@monash.edu" TargetMode="External"/><Relationship Id="rId24" Type="http://schemas.openxmlformats.org/officeDocument/2006/relationships/hyperlink" Target="https://ozflux.org.au/monitoringsites/dryriver/index.html" TargetMode="External"/><Relationship Id="rId40" Type="http://schemas.openxmlformats.org/officeDocument/2006/relationships/hyperlink" Target="mailto:Suzanne.Prober@csiro.au" TargetMode="External"/><Relationship Id="rId45" Type="http://schemas.openxmlformats.org/officeDocument/2006/relationships/hyperlink" Target="https://ozflux.org.au/monitoringsites/kopuatai/index.html" TargetMode="External"/><Relationship Id="rId66" Type="http://schemas.openxmlformats.org/officeDocument/2006/relationships/hyperlink" Target="mailto:schipper@waikato.ac.nz" TargetMode="External"/><Relationship Id="rId87" Type="http://schemas.openxmlformats.org/officeDocument/2006/relationships/hyperlink" Target="mailto:sarndt@unimelb.edu.au" TargetMode="External"/><Relationship Id="rId61" Type="http://schemas.openxmlformats.org/officeDocument/2006/relationships/hyperlink" Target="https://ozflux.org.au/monitoringsites/samford/index.html" TargetMode="External"/><Relationship Id="rId82" Type="http://schemas.openxmlformats.org/officeDocument/2006/relationships/hyperlink" Target="mailto:timothy.wardlaw@utas.edu.au" TargetMode="External"/><Relationship Id="rId19" Type="http://schemas.openxmlformats.org/officeDocument/2006/relationships/hyperlink" Target="https://ozflux.org.au/monitoringsites/dalyuncleared/index.html" TargetMode="External"/><Relationship Id="rId14" Type="http://schemas.openxmlformats.org/officeDocument/2006/relationships/hyperlink" Target="https://ozflux.org.au/monitoringsites/cowbay/index.html" TargetMode="External"/><Relationship Id="rId30" Type="http://schemas.openxmlformats.org/officeDocument/2006/relationships/hyperlink" Target="mailto:ruth.reef@monash.edu" TargetMode="External"/><Relationship Id="rId35" Type="http://schemas.openxmlformats.org/officeDocument/2006/relationships/hyperlink" Target="https://ozflux.org.au/monitoringsites/gingin/index.html" TargetMode="External"/><Relationship Id="rId56" Type="http://schemas.openxmlformats.org/officeDocument/2006/relationships/hyperlink" Target="https://ozflux.org.au/monitoringsites/ridgefield/index.html" TargetMode="External"/><Relationship Id="rId77" Type="http://schemas.openxmlformats.org/officeDocument/2006/relationships/hyperlink" Target="https://ozflux.org.au/monitoringsites/tumbarumba/index.html" TargetMode="External"/><Relationship Id="rId8" Type="http://schemas.openxmlformats.org/officeDocument/2006/relationships/hyperlink" Target="https://ozflux.org.au/monitoringsites/boyagin/index.html" TargetMode="External"/><Relationship Id="rId51" Type="http://schemas.openxmlformats.org/officeDocument/2006/relationships/hyperlink" Target="mailto:Lindsay.Hutley@cdu.edu.au" TargetMode="External"/><Relationship Id="rId72" Type="http://schemas.openxmlformats.org/officeDocument/2006/relationships/hyperlink" Target="mailto:jason.beringer@uwa.edu.au" TargetMode="External"/><Relationship Id="rId93" Type="http://schemas.openxmlformats.org/officeDocument/2006/relationships/hyperlink" Target="https://ozflux.org.au/monitoringsites/yanco/index.html" TargetMode="External"/><Relationship Id="rId98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uxnet.org/sites/siteinfo/CH-Dav" TargetMode="External"/><Relationship Id="rId21" Type="http://schemas.openxmlformats.org/officeDocument/2006/relationships/hyperlink" Target="https://fluxnet.org/sites/siteinfo/AU-Emr" TargetMode="External"/><Relationship Id="rId324" Type="http://schemas.openxmlformats.org/officeDocument/2006/relationships/hyperlink" Target="https://fluxnet.org/sites/siteinfo/RU-SkP" TargetMode="External"/><Relationship Id="rId531" Type="http://schemas.openxmlformats.org/officeDocument/2006/relationships/hyperlink" Target="https://fluxnet.org/sites/siteinfo/ZA-Kru" TargetMode="External"/><Relationship Id="rId170" Type="http://schemas.openxmlformats.org/officeDocument/2006/relationships/hyperlink" Target="https://fluxnet.org/sites/siteinfo/DE-Lkb" TargetMode="External"/><Relationship Id="rId268" Type="http://schemas.openxmlformats.org/officeDocument/2006/relationships/hyperlink" Target="https://fluxnet.org/sites/siteinfo/IT-PT1" TargetMode="External"/><Relationship Id="rId475" Type="http://schemas.openxmlformats.org/officeDocument/2006/relationships/hyperlink" Target="https://fluxnet.org/sites/siteinfo/US-StJ" TargetMode="External"/><Relationship Id="rId32" Type="http://schemas.openxmlformats.org/officeDocument/2006/relationships/hyperlink" Target="https://fluxnet.org/sites/siteinfo/AU-Lox" TargetMode="External"/><Relationship Id="rId128" Type="http://schemas.openxmlformats.org/officeDocument/2006/relationships/hyperlink" Target="https://fluxnet.org/sites/siteinfo/CN-Cha" TargetMode="External"/><Relationship Id="rId335" Type="http://schemas.openxmlformats.org/officeDocument/2006/relationships/hyperlink" Target="https://fluxnet.org/sites/siteinfo/SJ-Adv" TargetMode="External"/><Relationship Id="rId181" Type="http://schemas.openxmlformats.org/officeDocument/2006/relationships/hyperlink" Target="https://fluxnet.org/sites/siteinfo/DE-SfN" TargetMode="External"/><Relationship Id="rId402" Type="http://schemas.openxmlformats.org/officeDocument/2006/relationships/hyperlink" Target="https://fluxnet.org/sites/siteinfo/US-ICs" TargetMode="External"/><Relationship Id="rId279" Type="http://schemas.openxmlformats.org/officeDocument/2006/relationships/hyperlink" Target="https://fluxnet.org/sites/siteinfo/IT-Tor" TargetMode="External"/><Relationship Id="rId444" Type="http://schemas.openxmlformats.org/officeDocument/2006/relationships/hyperlink" Target="https://fluxnet.org/sites/siteinfo/US-NGC" TargetMode="External"/><Relationship Id="rId486" Type="http://schemas.openxmlformats.org/officeDocument/2006/relationships/hyperlink" Target="https://fluxnet.org/sites/siteinfo/US-Tw2" TargetMode="External"/><Relationship Id="rId43" Type="http://schemas.openxmlformats.org/officeDocument/2006/relationships/hyperlink" Target="https://fluxnet.org/sites/siteinfo/AU-Tum" TargetMode="External"/><Relationship Id="rId139" Type="http://schemas.openxmlformats.org/officeDocument/2006/relationships/hyperlink" Target="https://fluxnet.org/sites/siteinfo/CN-Ha2" TargetMode="External"/><Relationship Id="rId290" Type="http://schemas.openxmlformats.org/officeDocument/2006/relationships/hyperlink" Target="https://fluxnet.org/sites/siteinfo/JP-SwL" TargetMode="External"/><Relationship Id="rId304" Type="http://schemas.openxmlformats.org/officeDocument/2006/relationships/hyperlink" Target="https://fluxnet.org/sites/siteinfo/PA-SPn" TargetMode="External"/><Relationship Id="rId346" Type="http://schemas.openxmlformats.org/officeDocument/2006/relationships/hyperlink" Target="https://fluxnet.org/sites/siteinfo/US-A10" TargetMode="External"/><Relationship Id="rId388" Type="http://schemas.openxmlformats.org/officeDocument/2006/relationships/hyperlink" Target="https://fluxnet.org/sites/siteinfo/US-GLE" TargetMode="External"/><Relationship Id="rId511" Type="http://schemas.openxmlformats.org/officeDocument/2006/relationships/hyperlink" Target="https://fluxnet.org/sites/siteinfo/US-Wi1" TargetMode="External"/><Relationship Id="rId85" Type="http://schemas.openxmlformats.org/officeDocument/2006/relationships/hyperlink" Target="https://fluxnet.org/sites/siteinfo/CA-NS7" TargetMode="External"/><Relationship Id="rId150" Type="http://schemas.openxmlformats.org/officeDocument/2006/relationships/hyperlink" Target="https://fluxnet.org/sites/siteinfo/CZ-BK1" TargetMode="External"/><Relationship Id="rId192" Type="http://schemas.openxmlformats.org/officeDocument/2006/relationships/hyperlink" Target="https://fluxnet.org/sites/siteinfo/DK-Fou" TargetMode="External"/><Relationship Id="rId206" Type="http://schemas.openxmlformats.org/officeDocument/2006/relationships/hyperlink" Target="https://fluxnet.org/sites/siteinfo/FI-Jok" TargetMode="External"/><Relationship Id="rId413" Type="http://schemas.openxmlformats.org/officeDocument/2006/relationships/hyperlink" Target="https://fluxnet.org/sites/siteinfo/US-LWW" TargetMode="External"/><Relationship Id="rId248" Type="http://schemas.openxmlformats.org/officeDocument/2006/relationships/hyperlink" Target="https://fluxnet.org/sites/siteinfo/IT-CA3" TargetMode="External"/><Relationship Id="rId455" Type="http://schemas.openxmlformats.org/officeDocument/2006/relationships/hyperlink" Target="https://fluxnet.org/sites/siteinfo/US-OWC" TargetMode="External"/><Relationship Id="rId497" Type="http://schemas.openxmlformats.org/officeDocument/2006/relationships/hyperlink" Target="https://fluxnet.org/sites/siteinfo/US-UMd" TargetMode="External"/><Relationship Id="rId12" Type="http://schemas.openxmlformats.org/officeDocument/2006/relationships/hyperlink" Target="https://fluxnet.org/sites/siteinfo/AU-Cpr" TargetMode="External"/><Relationship Id="rId108" Type="http://schemas.openxmlformats.org/officeDocument/2006/relationships/hyperlink" Target="https://fluxnet.org/sites/siteinfo/CA-TP3" TargetMode="External"/><Relationship Id="rId315" Type="http://schemas.openxmlformats.org/officeDocument/2006/relationships/hyperlink" Target="https://fluxnet.org/sites/siteinfo/RU-Fy2" TargetMode="External"/><Relationship Id="rId357" Type="http://schemas.openxmlformats.org/officeDocument/2006/relationships/hyperlink" Target="https://fluxnet.org/sites/siteinfo/US-Atq" TargetMode="External"/><Relationship Id="rId522" Type="http://schemas.openxmlformats.org/officeDocument/2006/relationships/hyperlink" Target="https://fluxnet.org/sites/siteinfo/US-Wi6" TargetMode="External"/><Relationship Id="rId54" Type="http://schemas.openxmlformats.org/officeDocument/2006/relationships/hyperlink" Target="https://fluxnet.org/sites/siteinfo/BE-Bra" TargetMode="External"/><Relationship Id="rId96" Type="http://schemas.openxmlformats.org/officeDocument/2006/relationships/hyperlink" Target="https://fluxnet.org/sites/siteinfo/CA-SCC" TargetMode="External"/><Relationship Id="rId161" Type="http://schemas.openxmlformats.org/officeDocument/2006/relationships/hyperlink" Target="https://fluxnet.org/sites/siteinfo/DE-Gri" TargetMode="External"/><Relationship Id="rId217" Type="http://schemas.openxmlformats.org/officeDocument/2006/relationships/hyperlink" Target="https://fluxnet.org/sites/siteinfo/FR-Fon" TargetMode="External"/><Relationship Id="rId399" Type="http://schemas.openxmlformats.org/officeDocument/2006/relationships/hyperlink" Target="https://fluxnet.org/sites/siteinfo/US-IB2" TargetMode="External"/><Relationship Id="rId259" Type="http://schemas.openxmlformats.org/officeDocument/2006/relationships/hyperlink" Target="https://fluxnet.org/sites/siteinfo/IT-La2" TargetMode="External"/><Relationship Id="rId424" Type="http://schemas.openxmlformats.org/officeDocument/2006/relationships/hyperlink" Target="https://fluxnet.org/sites/siteinfo/US-MRM" TargetMode="External"/><Relationship Id="rId466" Type="http://schemas.openxmlformats.org/officeDocument/2006/relationships/hyperlink" Target="https://fluxnet.org/sites/siteinfo/US-SRG" TargetMode="External"/><Relationship Id="rId23" Type="http://schemas.openxmlformats.org/officeDocument/2006/relationships/hyperlink" Target="https://fluxnet.org/sites/siteinfo/AU-Fog" TargetMode="External"/><Relationship Id="rId119" Type="http://schemas.openxmlformats.org/officeDocument/2006/relationships/hyperlink" Target="https://fluxnet.org/sites/siteinfo/CH-Fru" TargetMode="External"/><Relationship Id="rId270" Type="http://schemas.openxmlformats.org/officeDocument/2006/relationships/hyperlink" Target="https://fluxnet.org/sites/siteinfo/IT-Ren" TargetMode="External"/><Relationship Id="rId326" Type="http://schemas.openxmlformats.org/officeDocument/2006/relationships/hyperlink" Target="https://fluxnet.org/sites/siteinfo/RU-Tks" TargetMode="External"/><Relationship Id="rId533" Type="http://schemas.openxmlformats.org/officeDocument/2006/relationships/hyperlink" Target="https://fluxnet.org/sites/siteinfo/ZM-Mon" TargetMode="External"/><Relationship Id="rId65" Type="http://schemas.openxmlformats.org/officeDocument/2006/relationships/hyperlink" Target="https://fluxnet.org/sites/siteinfo/BW-Gum" TargetMode="External"/><Relationship Id="rId130" Type="http://schemas.openxmlformats.org/officeDocument/2006/relationships/hyperlink" Target="https://fluxnet.org/sites/siteinfo/CN-Cng" TargetMode="External"/><Relationship Id="rId368" Type="http://schemas.openxmlformats.org/officeDocument/2006/relationships/hyperlink" Target="https://fluxnet.org/sites/siteinfo/US-Bes" TargetMode="External"/><Relationship Id="rId172" Type="http://schemas.openxmlformats.org/officeDocument/2006/relationships/hyperlink" Target="https://fluxnet.org/sites/siteinfo/DE-Lnf" TargetMode="External"/><Relationship Id="rId228" Type="http://schemas.openxmlformats.org/officeDocument/2006/relationships/hyperlink" Target="https://fluxnet.org/sites/siteinfo/GF-Guy" TargetMode="External"/><Relationship Id="rId435" Type="http://schemas.openxmlformats.org/officeDocument/2006/relationships/hyperlink" Target="https://fluxnet.org/sites/siteinfo/US-Me6" TargetMode="External"/><Relationship Id="rId477" Type="http://schemas.openxmlformats.org/officeDocument/2006/relationships/hyperlink" Target="https://fluxnet.org/sites/siteinfo/US-Sta" TargetMode="External"/><Relationship Id="rId281" Type="http://schemas.openxmlformats.org/officeDocument/2006/relationships/hyperlink" Target="https://fluxnet.org/sites/siteinfo/JP-BBY" TargetMode="External"/><Relationship Id="rId337" Type="http://schemas.openxmlformats.org/officeDocument/2006/relationships/hyperlink" Target="https://fluxnet.org/sites/siteinfo/SJ-Blv" TargetMode="External"/><Relationship Id="rId502" Type="http://schemas.openxmlformats.org/officeDocument/2006/relationships/hyperlink" Target="https://fluxnet.org/sites/siteinfo/US-Var" TargetMode="External"/><Relationship Id="rId34" Type="http://schemas.openxmlformats.org/officeDocument/2006/relationships/hyperlink" Target="https://fluxnet.org/sites/siteinfo/AU-RDF" TargetMode="External"/><Relationship Id="rId76" Type="http://schemas.openxmlformats.org/officeDocument/2006/relationships/hyperlink" Target="https://fluxnet.org/sites/siteinfo/CA-NS2" TargetMode="External"/><Relationship Id="rId141" Type="http://schemas.openxmlformats.org/officeDocument/2006/relationships/hyperlink" Target="https://fluxnet.org/sites/siteinfo/CN-HaM" TargetMode="External"/><Relationship Id="rId379" Type="http://schemas.openxmlformats.org/officeDocument/2006/relationships/hyperlink" Target="https://fluxnet.org/sites/siteinfo/US-DPW" TargetMode="External"/><Relationship Id="rId7" Type="http://schemas.openxmlformats.org/officeDocument/2006/relationships/hyperlink" Target="https://fluxnet.org/sites/siteinfo/AU-ASM" TargetMode="External"/><Relationship Id="rId183" Type="http://schemas.openxmlformats.org/officeDocument/2006/relationships/hyperlink" Target="https://fluxnet.org/sites/siteinfo/DE-Spw" TargetMode="External"/><Relationship Id="rId239" Type="http://schemas.openxmlformats.org/officeDocument/2006/relationships/hyperlink" Target="https://fluxnet.org/sites/siteinfo/ID-Pag" TargetMode="External"/><Relationship Id="rId390" Type="http://schemas.openxmlformats.org/officeDocument/2006/relationships/hyperlink" Target="https://fluxnet.org/sites/siteinfo/US-Goo" TargetMode="External"/><Relationship Id="rId404" Type="http://schemas.openxmlformats.org/officeDocument/2006/relationships/hyperlink" Target="https://fluxnet.org/sites/siteinfo/US-Ivo" TargetMode="External"/><Relationship Id="rId446" Type="http://schemas.openxmlformats.org/officeDocument/2006/relationships/hyperlink" Target="https://fluxnet.org/sites/siteinfo/US-NR1" TargetMode="External"/><Relationship Id="rId250" Type="http://schemas.openxmlformats.org/officeDocument/2006/relationships/hyperlink" Target="https://fluxnet.org/sites/siteinfo/IT-Cas" TargetMode="External"/><Relationship Id="rId292" Type="http://schemas.openxmlformats.org/officeDocument/2006/relationships/hyperlink" Target="https://fluxnet.org/sites/siteinfo/KR-CRK" TargetMode="External"/><Relationship Id="rId306" Type="http://schemas.openxmlformats.org/officeDocument/2006/relationships/hyperlink" Target="https://fluxnet.org/sites/siteinfo/PA-SPs" TargetMode="External"/><Relationship Id="rId488" Type="http://schemas.openxmlformats.org/officeDocument/2006/relationships/hyperlink" Target="https://fluxnet.org/sites/siteinfo/US-Tw3" TargetMode="External"/><Relationship Id="rId45" Type="http://schemas.openxmlformats.org/officeDocument/2006/relationships/hyperlink" Target="https://fluxnet.org/sites/siteinfo/AU-Wac" TargetMode="External"/><Relationship Id="rId87" Type="http://schemas.openxmlformats.org/officeDocument/2006/relationships/hyperlink" Target="https://fluxnet.org/sites/siteinfo/CA-Oas" TargetMode="External"/><Relationship Id="rId110" Type="http://schemas.openxmlformats.org/officeDocument/2006/relationships/hyperlink" Target="https://fluxnet.org/sites/siteinfo/CA-TP4" TargetMode="External"/><Relationship Id="rId348" Type="http://schemas.openxmlformats.org/officeDocument/2006/relationships/hyperlink" Target="https://fluxnet.org/sites/siteinfo/US-AR1" TargetMode="External"/><Relationship Id="rId513" Type="http://schemas.openxmlformats.org/officeDocument/2006/relationships/hyperlink" Target="https://fluxnet.org/sites/siteinfo/US-Wi2" TargetMode="External"/><Relationship Id="rId152" Type="http://schemas.openxmlformats.org/officeDocument/2006/relationships/hyperlink" Target="https://fluxnet.org/sites/siteinfo/CZ-BK2" TargetMode="External"/><Relationship Id="rId194" Type="http://schemas.openxmlformats.org/officeDocument/2006/relationships/hyperlink" Target="https://fluxnet.org/sites/siteinfo/DK-Sor" TargetMode="External"/><Relationship Id="rId208" Type="http://schemas.openxmlformats.org/officeDocument/2006/relationships/hyperlink" Target="https://fluxnet.org/sites/siteinfo/FI-Let" TargetMode="External"/><Relationship Id="rId415" Type="http://schemas.openxmlformats.org/officeDocument/2006/relationships/hyperlink" Target="https://fluxnet.org/sites/siteinfo/US-Lin" TargetMode="External"/><Relationship Id="rId457" Type="http://schemas.openxmlformats.org/officeDocument/2006/relationships/hyperlink" Target="https://fluxnet.org/sites/siteinfo/US-Oho" TargetMode="External"/><Relationship Id="rId261" Type="http://schemas.openxmlformats.org/officeDocument/2006/relationships/hyperlink" Target="https://fluxnet.org/sites/siteinfo/IT-Lav" TargetMode="External"/><Relationship Id="rId499" Type="http://schemas.openxmlformats.org/officeDocument/2006/relationships/hyperlink" Target="https://fluxnet.org/sites/siteinfo/US-Uaf" TargetMode="External"/><Relationship Id="rId14" Type="http://schemas.openxmlformats.org/officeDocument/2006/relationships/hyperlink" Target="https://fluxnet.org/sites/siteinfo/AU-Cum" TargetMode="External"/><Relationship Id="rId56" Type="http://schemas.openxmlformats.org/officeDocument/2006/relationships/hyperlink" Target="https://fluxnet.org/sites/siteinfo/BE-Lon" TargetMode="External"/><Relationship Id="rId317" Type="http://schemas.openxmlformats.org/officeDocument/2006/relationships/hyperlink" Target="https://fluxnet.org/sites/siteinfo/RU-Fyo" TargetMode="External"/><Relationship Id="rId359" Type="http://schemas.openxmlformats.org/officeDocument/2006/relationships/hyperlink" Target="https://fluxnet.org/sites/siteinfo/US-BZB" TargetMode="External"/><Relationship Id="rId524" Type="http://schemas.openxmlformats.org/officeDocument/2006/relationships/hyperlink" Target="https://fluxnet.org/sites/siteinfo/US-Wi7" TargetMode="External"/><Relationship Id="rId98" Type="http://schemas.openxmlformats.org/officeDocument/2006/relationships/hyperlink" Target="https://fluxnet.org/sites/siteinfo/CA-SF1" TargetMode="External"/><Relationship Id="rId121" Type="http://schemas.openxmlformats.org/officeDocument/2006/relationships/hyperlink" Target="https://fluxnet.org/sites/siteinfo/CH-Lae" TargetMode="External"/><Relationship Id="rId163" Type="http://schemas.openxmlformats.org/officeDocument/2006/relationships/hyperlink" Target="https://fluxnet.org/sites/siteinfo/DE-Hai" TargetMode="External"/><Relationship Id="rId219" Type="http://schemas.openxmlformats.org/officeDocument/2006/relationships/hyperlink" Target="https://fluxnet.org/sites/siteinfo/FR-Gri" TargetMode="External"/><Relationship Id="rId370" Type="http://schemas.openxmlformats.org/officeDocument/2006/relationships/hyperlink" Target="https://fluxnet.org/sites/siteinfo/US-Bi1" TargetMode="External"/><Relationship Id="rId426" Type="http://schemas.openxmlformats.org/officeDocument/2006/relationships/hyperlink" Target="https://fluxnet.org/sites/siteinfo/US-Me1" TargetMode="External"/><Relationship Id="rId230" Type="http://schemas.openxmlformats.org/officeDocument/2006/relationships/hyperlink" Target="https://fluxnet.org/sites/siteinfo/GH-Ank" TargetMode="External"/><Relationship Id="rId468" Type="http://schemas.openxmlformats.org/officeDocument/2006/relationships/hyperlink" Target="https://fluxnet.org/sites/siteinfo/US-SRM" TargetMode="External"/><Relationship Id="rId25" Type="http://schemas.openxmlformats.org/officeDocument/2006/relationships/hyperlink" Target="https://fluxnet.org/sites/siteinfo/AU-GWW" TargetMode="External"/><Relationship Id="rId67" Type="http://schemas.openxmlformats.org/officeDocument/2006/relationships/hyperlink" Target="https://fluxnet.org/sites/siteinfo/BW-Nxr" TargetMode="External"/><Relationship Id="rId272" Type="http://schemas.openxmlformats.org/officeDocument/2006/relationships/hyperlink" Target="https://fluxnet.org/sites/siteinfo/IT-Ro1" TargetMode="External"/><Relationship Id="rId328" Type="http://schemas.openxmlformats.org/officeDocument/2006/relationships/hyperlink" Target="https://fluxnet.org/sites/siteinfo/RU-Vrk" TargetMode="External"/><Relationship Id="rId132" Type="http://schemas.openxmlformats.org/officeDocument/2006/relationships/hyperlink" Target="https://fluxnet.org/sites/siteinfo/CN-Dan" TargetMode="External"/><Relationship Id="rId174" Type="http://schemas.openxmlformats.org/officeDocument/2006/relationships/hyperlink" Target="https://fluxnet.org/sites/siteinfo/DE-Obe" TargetMode="External"/><Relationship Id="rId381" Type="http://schemas.openxmlformats.org/officeDocument/2006/relationships/hyperlink" Target="https://fluxnet.org/sites/siteinfo/US-EDN" TargetMode="External"/><Relationship Id="rId241" Type="http://schemas.openxmlformats.org/officeDocument/2006/relationships/hyperlink" Target="https://fluxnet.org/sites/siteinfo/IT-BCi" TargetMode="External"/><Relationship Id="rId437" Type="http://schemas.openxmlformats.org/officeDocument/2006/relationships/hyperlink" Target="https://fluxnet.org/sites/siteinfo/US-Myb" TargetMode="External"/><Relationship Id="rId479" Type="http://schemas.openxmlformats.org/officeDocument/2006/relationships/hyperlink" Target="https://fluxnet.org/sites/siteinfo/US-Syv" TargetMode="External"/><Relationship Id="rId36" Type="http://schemas.openxmlformats.org/officeDocument/2006/relationships/hyperlink" Target="https://fluxnet.org/sites/siteinfo/AU-Rig" TargetMode="External"/><Relationship Id="rId283" Type="http://schemas.openxmlformats.org/officeDocument/2006/relationships/hyperlink" Target="https://fluxnet.org/sites/siteinfo/JP-MBF" TargetMode="External"/><Relationship Id="rId339" Type="http://schemas.openxmlformats.org/officeDocument/2006/relationships/hyperlink" Target="https://fluxnet.org/sites/siteinfo/SN-Dhr" TargetMode="External"/><Relationship Id="rId490" Type="http://schemas.openxmlformats.org/officeDocument/2006/relationships/hyperlink" Target="https://fluxnet.org/sites/siteinfo/US-Tw4" TargetMode="External"/><Relationship Id="rId504" Type="http://schemas.openxmlformats.org/officeDocument/2006/relationships/hyperlink" Target="https://fluxnet.org/sites/siteinfo/US-WCr" TargetMode="External"/><Relationship Id="rId78" Type="http://schemas.openxmlformats.org/officeDocument/2006/relationships/hyperlink" Target="https://fluxnet.org/sites/siteinfo/CA-NS3" TargetMode="External"/><Relationship Id="rId101" Type="http://schemas.openxmlformats.org/officeDocument/2006/relationships/hyperlink" Target="https://fluxnet.org/sites/siteinfo/CA-SF3" TargetMode="External"/><Relationship Id="rId143" Type="http://schemas.openxmlformats.org/officeDocument/2006/relationships/hyperlink" Target="https://fluxnet.org/sites/siteinfo/CN-Hgu" TargetMode="External"/><Relationship Id="rId185" Type="http://schemas.openxmlformats.org/officeDocument/2006/relationships/hyperlink" Target="https://fluxnet.org/sites/siteinfo/DE-Tha" TargetMode="External"/><Relationship Id="rId350" Type="http://schemas.openxmlformats.org/officeDocument/2006/relationships/hyperlink" Target="https://fluxnet.org/sites/siteinfo/US-AR2" TargetMode="External"/><Relationship Id="rId406" Type="http://schemas.openxmlformats.org/officeDocument/2006/relationships/hyperlink" Target="https://fluxnet.org/sites/siteinfo/US-KS1" TargetMode="External"/><Relationship Id="rId9" Type="http://schemas.openxmlformats.org/officeDocument/2006/relationships/hyperlink" Target="https://fluxnet.org/sites/siteinfo/AU-Ade" TargetMode="External"/><Relationship Id="rId210" Type="http://schemas.openxmlformats.org/officeDocument/2006/relationships/hyperlink" Target="https://fluxnet.org/sites/siteinfo/FI-Lom" TargetMode="External"/><Relationship Id="rId392" Type="http://schemas.openxmlformats.org/officeDocument/2006/relationships/hyperlink" Target="https://fluxnet.org/sites/siteinfo/US-HRA" TargetMode="External"/><Relationship Id="rId448" Type="http://schemas.openxmlformats.org/officeDocument/2006/relationships/hyperlink" Target="https://fluxnet.org/sites/siteinfo/US-Ne1" TargetMode="External"/><Relationship Id="rId252" Type="http://schemas.openxmlformats.org/officeDocument/2006/relationships/hyperlink" Target="https://fluxnet.org/sites/siteinfo/IT-Col" TargetMode="External"/><Relationship Id="rId294" Type="http://schemas.openxmlformats.org/officeDocument/2006/relationships/hyperlink" Target="https://fluxnet.org/sites/siteinfo/MY-MLM" TargetMode="External"/><Relationship Id="rId308" Type="http://schemas.openxmlformats.org/officeDocument/2006/relationships/hyperlink" Target="https://fluxnet.org/sites/siteinfo/PH-RiF" TargetMode="External"/><Relationship Id="rId515" Type="http://schemas.openxmlformats.org/officeDocument/2006/relationships/hyperlink" Target="https://fluxnet.org/sites/siteinfo/US-Wi3" TargetMode="External"/><Relationship Id="rId47" Type="http://schemas.openxmlformats.org/officeDocument/2006/relationships/hyperlink" Target="https://fluxnet.org/sites/siteinfo/AU-Whr" TargetMode="External"/><Relationship Id="rId89" Type="http://schemas.openxmlformats.org/officeDocument/2006/relationships/hyperlink" Target="https://fluxnet.org/sites/siteinfo/CA-Obs" TargetMode="External"/><Relationship Id="rId112" Type="http://schemas.openxmlformats.org/officeDocument/2006/relationships/hyperlink" Target="https://fluxnet.org/sites/siteinfo/CA-TPD" TargetMode="External"/><Relationship Id="rId154" Type="http://schemas.openxmlformats.org/officeDocument/2006/relationships/hyperlink" Target="https://fluxnet.org/sites/siteinfo/CZ-wet" TargetMode="External"/><Relationship Id="rId361" Type="http://schemas.openxmlformats.org/officeDocument/2006/relationships/hyperlink" Target="https://fluxnet.org/sites/siteinfo/US-BZF" TargetMode="External"/><Relationship Id="rId196" Type="http://schemas.openxmlformats.org/officeDocument/2006/relationships/hyperlink" Target="https://fluxnet.org/sites/siteinfo/ES-Amo" TargetMode="External"/><Relationship Id="rId417" Type="http://schemas.openxmlformats.org/officeDocument/2006/relationships/hyperlink" Target="https://fluxnet.org/sites/siteinfo/US-Los" TargetMode="External"/><Relationship Id="rId459" Type="http://schemas.openxmlformats.org/officeDocument/2006/relationships/hyperlink" Target="https://fluxnet.org/sites/siteinfo/US-PFa" TargetMode="External"/><Relationship Id="rId16" Type="http://schemas.openxmlformats.org/officeDocument/2006/relationships/hyperlink" Target="https://fluxnet.org/sites/siteinfo/AU-DaP" TargetMode="External"/><Relationship Id="rId221" Type="http://schemas.openxmlformats.org/officeDocument/2006/relationships/hyperlink" Target="https://fluxnet.org/sites/siteinfo/FR-LBr" TargetMode="External"/><Relationship Id="rId263" Type="http://schemas.openxmlformats.org/officeDocument/2006/relationships/hyperlink" Target="https://fluxnet.org/sites/siteinfo/IT-MBo" TargetMode="External"/><Relationship Id="rId319" Type="http://schemas.openxmlformats.org/officeDocument/2006/relationships/hyperlink" Target="https://fluxnet.org/sites/siteinfo/RU-Ha1" TargetMode="External"/><Relationship Id="rId470" Type="http://schemas.openxmlformats.org/officeDocument/2006/relationships/hyperlink" Target="https://fluxnet.org/sites/siteinfo/US-Snd" TargetMode="External"/><Relationship Id="rId526" Type="http://schemas.openxmlformats.org/officeDocument/2006/relationships/hyperlink" Target="https://fluxnet.org/sites/siteinfo/US-Wi8" TargetMode="External"/><Relationship Id="rId58" Type="http://schemas.openxmlformats.org/officeDocument/2006/relationships/hyperlink" Target="https://fluxnet.org/sites/siteinfo/BE-Vie" TargetMode="External"/><Relationship Id="rId123" Type="http://schemas.openxmlformats.org/officeDocument/2006/relationships/hyperlink" Target="https://fluxnet.org/sites/siteinfo/CH-Oe1" TargetMode="External"/><Relationship Id="rId330" Type="http://schemas.openxmlformats.org/officeDocument/2006/relationships/hyperlink" Target="https://fluxnet.org/sites/siteinfo/SD-Dem" TargetMode="External"/><Relationship Id="rId165" Type="http://schemas.openxmlformats.org/officeDocument/2006/relationships/hyperlink" Target="https://fluxnet.org/sites/siteinfo/DE-Hte" TargetMode="External"/><Relationship Id="rId372" Type="http://schemas.openxmlformats.org/officeDocument/2006/relationships/hyperlink" Target="https://fluxnet.org/sites/siteinfo/US-Bi2" TargetMode="External"/><Relationship Id="rId428" Type="http://schemas.openxmlformats.org/officeDocument/2006/relationships/hyperlink" Target="https://fluxnet.org/sites/siteinfo/US-Me2" TargetMode="External"/><Relationship Id="rId232" Type="http://schemas.openxmlformats.org/officeDocument/2006/relationships/hyperlink" Target="https://fluxnet.org/sites/siteinfo/GL-NuF" TargetMode="External"/><Relationship Id="rId274" Type="http://schemas.openxmlformats.org/officeDocument/2006/relationships/hyperlink" Target="https://fluxnet.org/sites/siteinfo/IT-Ro2" TargetMode="External"/><Relationship Id="rId481" Type="http://schemas.openxmlformats.org/officeDocument/2006/relationships/hyperlink" Target="https://fluxnet.org/sites/siteinfo/US-Ton" TargetMode="External"/><Relationship Id="rId27" Type="http://schemas.openxmlformats.org/officeDocument/2006/relationships/hyperlink" Target="https://fluxnet.org/sites/siteinfo/AU-Gin" TargetMode="External"/><Relationship Id="rId69" Type="http://schemas.openxmlformats.org/officeDocument/2006/relationships/hyperlink" Target="https://fluxnet.org/sites/siteinfo/CA-Gro" TargetMode="External"/><Relationship Id="rId134" Type="http://schemas.openxmlformats.org/officeDocument/2006/relationships/hyperlink" Target="https://fluxnet.org/sites/siteinfo/CN-Din" TargetMode="External"/><Relationship Id="rId80" Type="http://schemas.openxmlformats.org/officeDocument/2006/relationships/hyperlink" Target="https://fluxnet.org/sites/siteinfo/CA-NS4" TargetMode="External"/><Relationship Id="rId176" Type="http://schemas.openxmlformats.org/officeDocument/2006/relationships/hyperlink" Target="https://fluxnet.org/sites/siteinfo/DE-RuR" TargetMode="External"/><Relationship Id="rId341" Type="http://schemas.openxmlformats.org/officeDocument/2006/relationships/hyperlink" Target="https://fluxnet.org/sites/siteinfo/UK-LBT" TargetMode="External"/><Relationship Id="rId383" Type="http://schemas.openxmlformats.org/officeDocument/2006/relationships/hyperlink" Target="https://fluxnet.org/sites/siteinfo/US-EML" TargetMode="External"/><Relationship Id="rId439" Type="http://schemas.openxmlformats.org/officeDocument/2006/relationships/hyperlink" Target="https://fluxnet.org/sites/siteinfo/US-NC4" TargetMode="External"/><Relationship Id="rId201" Type="http://schemas.openxmlformats.org/officeDocument/2006/relationships/hyperlink" Target="https://fluxnet.org/sites/siteinfo/ES-Ln2" TargetMode="External"/><Relationship Id="rId243" Type="http://schemas.openxmlformats.org/officeDocument/2006/relationships/hyperlink" Target="https://fluxnet.org/sites/siteinfo/IT-CA1" TargetMode="External"/><Relationship Id="rId285" Type="http://schemas.openxmlformats.org/officeDocument/2006/relationships/hyperlink" Target="https://fluxnet.org/sites/siteinfo/JP-Mse" TargetMode="External"/><Relationship Id="rId450" Type="http://schemas.openxmlformats.org/officeDocument/2006/relationships/hyperlink" Target="https://fluxnet.org/sites/siteinfo/US-Ne2" TargetMode="External"/><Relationship Id="rId506" Type="http://schemas.openxmlformats.org/officeDocument/2006/relationships/hyperlink" Target="https://fluxnet.org/sites/siteinfo/US-WPT" TargetMode="External"/><Relationship Id="rId38" Type="http://schemas.openxmlformats.org/officeDocument/2006/relationships/hyperlink" Target="https://fluxnet.org/sites/siteinfo/AU-Rob" TargetMode="External"/><Relationship Id="rId103" Type="http://schemas.openxmlformats.org/officeDocument/2006/relationships/hyperlink" Target="https://fluxnet.org/sites/siteinfo/CA-TP1" TargetMode="External"/><Relationship Id="rId310" Type="http://schemas.openxmlformats.org/officeDocument/2006/relationships/hyperlink" Target="https://fluxnet.org/sites/siteinfo/RU-Ch2" TargetMode="External"/><Relationship Id="rId492" Type="http://schemas.openxmlformats.org/officeDocument/2006/relationships/hyperlink" Target="https://fluxnet.org/sites/siteinfo/US-Tw5" TargetMode="External"/><Relationship Id="rId91" Type="http://schemas.openxmlformats.org/officeDocument/2006/relationships/hyperlink" Target="https://fluxnet.org/sites/siteinfo/CA-Qfo" TargetMode="External"/><Relationship Id="rId145" Type="http://schemas.openxmlformats.org/officeDocument/2006/relationships/hyperlink" Target="https://fluxnet.org/sites/siteinfo/CN-Qia" TargetMode="External"/><Relationship Id="rId187" Type="http://schemas.openxmlformats.org/officeDocument/2006/relationships/hyperlink" Target="https://fluxnet.org/sites/siteinfo/DE-Zrk" TargetMode="External"/><Relationship Id="rId352" Type="http://schemas.openxmlformats.org/officeDocument/2006/relationships/hyperlink" Target="https://fluxnet.org/sites/siteinfo/US-ARM" TargetMode="External"/><Relationship Id="rId394" Type="http://schemas.openxmlformats.org/officeDocument/2006/relationships/hyperlink" Target="https://fluxnet.org/sites/siteinfo/US-HRC" TargetMode="External"/><Relationship Id="rId408" Type="http://schemas.openxmlformats.org/officeDocument/2006/relationships/hyperlink" Target="https://fluxnet.org/sites/siteinfo/US-KS2" TargetMode="External"/><Relationship Id="rId212" Type="http://schemas.openxmlformats.org/officeDocument/2006/relationships/hyperlink" Target="https://fluxnet.org/sites/siteinfo/FI-Si2" TargetMode="External"/><Relationship Id="rId254" Type="http://schemas.openxmlformats.org/officeDocument/2006/relationships/hyperlink" Target="https://fluxnet.org/sites/siteinfo/IT-Cp2" TargetMode="External"/><Relationship Id="rId49" Type="http://schemas.openxmlformats.org/officeDocument/2006/relationships/hyperlink" Target="https://fluxnet.org/sites/siteinfo/AU-Wom" TargetMode="External"/><Relationship Id="rId114" Type="http://schemas.openxmlformats.org/officeDocument/2006/relationships/hyperlink" Target="https://fluxnet.org/sites/siteinfo/CG-Tch" TargetMode="External"/><Relationship Id="rId296" Type="http://schemas.openxmlformats.org/officeDocument/2006/relationships/hyperlink" Target="https://fluxnet.org/sites/siteinfo/MY-PSO" TargetMode="External"/><Relationship Id="rId461" Type="http://schemas.openxmlformats.org/officeDocument/2006/relationships/hyperlink" Target="https://fluxnet.org/sites/siteinfo/US-Prr" TargetMode="External"/><Relationship Id="rId517" Type="http://schemas.openxmlformats.org/officeDocument/2006/relationships/hyperlink" Target="https://fluxnet.org/sites/siteinfo/US-Wi4" TargetMode="External"/><Relationship Id="rId60" Type="http://schemas.openxmlformats.org/officeDocument/2006/relationships/hyperlink" Target="https://fluxnet.org/sites/siteinfo/BR-Npw" TargetMode="External"/><Relationship Id="rId156" Type="http://schemas.openxmlformats.org/officeDocument/2006/relationships/hyperlink" Target="https://fluxnet.org/sites/siteinfo/DE-Akm" TargetMode="External"/><Relationship Id="rId198" Type="http://schemas.openxmlformats.org/officeDocument/2006/relationships/hyperlink" Target="https://fluxnet.org/sites/siteinfo/ES-LJu" TargetMode="External"/><Relationship Id="rId321" Type="http://schemas.openxmlformats.org/officeDocument/2006/relationships/hyperlink" Target="https://fluxnet.org/sites/siteinfo/RU-Sam" TargetMode="External"/><Relationship Id="rId363" Type="http://schemas.openxmlformats.org/officeDocument/2006/relationships/hyperlink" Target="https://fluxnet.org/sites/siteinfo/US-BZS" TargetMode="External"/><Relationship Id="rId419" Type="http://schemas.openxmlformats.org/officeDocument/2006/relationships/hyperlink" Target="https://fluxnet.org/sites/siteinfo/US-MAC" TargetMode="External"/><Relationship Id="rId223" Type="http://schemas.openxmlformats.org/officeDocument/2006/relationships/hyperlink" Target="https://fluxnet.org/sites/siteinfo/FR-LGt" TargetMode="External"/><Relationship Id="rId430" Type="http://schemas.openxmlformats.org/officeDocument/2006/relationships/hyperlink" Target="https://fluxnet.org/sites/siteinfo/US-Me3" TargetMode="External"/><Relationship Id="rId18" Type="http://schemas.openxmlformats.org/officeDocument/2006/relationships/hyperlink" Target="https://fluxnet.org/sites/siteinfo/AU-DaS" TargetMode="External"/><Relationship Id="rId265" Type="http://schemas.openxmlformats.org/officeDocument/2006/relationships/hyperlink" Target="https://fluxnet.org/sites/siteinfo/IT-Noe" TargetMode="External"/><Relationship Id="rId472" Type="http://schemas.openxmlformats.org/officeDocument/2006/relationships/hyperlink" Target="https://fluxnet.org/sites/siteinfo/US-Sne" TargetMode="External"/><Relationship Id="rId528" Type="http://schemas.openxmlformats.org/officeDocument/2006/relationships/hyperlink" Target="https://fluxnet.org/sites/siteinfo/US-Wi9" TargetMode="External"/><Relationship Id="rId125" Type="http://schemas.openxmlformats.org/officeDocument/2006/relationships/hyperlink" Target="https://fluxnet.org/sites/siteinfo/CH-Oe2" TargetMode="External"/><Relationship Id="rId167" Type="http://schemas.openxmlformats.org/officeDocument/2006/relationships/hyperlink" Target="https://fluxnet.org/sites/siteinfo/DE-Kli" TargetMode="External"/><Relationship Id="rId332" Type="http://schemas.openxmlformats.org/officeDocument/2006/relationships/hyperlink" Target="https://fluxnet.org/sites/siteinfo/SE-Deg" TargetMode="External"/><Relationship Id="rId374" Type="http://schemas.openxmlformats.org/officeDocument/2006/relationships/hyperlink" Target="https://fluxnet.org/sites/siteinfo/US-Blo" TargetMode="External"/><Relationship Id="rId71" Type="http://schemas.openxmlformats.org/officeDocument/2006/relationships/hyperlink" Target="https://fluxnet.org/sites/siteinfo/CA-Man" TargetMode="External"/><Relationship Id="rId234" Type="http://schemas.openxmlformats.org/officeDocument/2006/relationships/hyperlink" Target="https://fluxnet.org/sites/siteinfo/GL-ZaF" TargetMode="External"/><Relationship Id="rId2" Type="http://schemas.openxmlformats.org/officeDocument/2006/relationships/hyperlink" Target="https://fluxnet.org/sites/siteinfo/AR-SLu" TargetMode="External"/><Relationship Id="rId29" Type="http://schemas.openxmlformats.org/officeDocument/2006/relationships/hyperlink" Target="https://fluxnet.org/sites/siteinfo/AU-How" TargetMode="External"/><Relationship Id="rId276" Type="http://schemas.openxmlformats.org/officeDocument/2006/relationships/hyperlink" Target="https://fluxnet.org/sites/siteinfo/IT-SR2" TargetMode="External"/><Relationship Id="rId441" Type="http://schemas.openxmlformats.org/officeDocument/2006/relationships/hyperlink" Target="https://fluxnet.org/sites/siteinfo/US-NGB" TargetMode="External"/><Relationship Id="rId483" Type="http://schemas.openxmlformats.org/officeDocument/2006/relationships/hyperlink" Target="https://fluxnet.org/sites/siteinfo/US-Tw1" TargetMode="External"/><Relationship Id="rId40" Type="http://schemas.openxmlformats.org/officeDocument/2006/relationships/hyperlink" Target="https://fluxnet.org/sites/siteinfo/AU-Stp" TargetMode="External"/><Relationship Id="rId136" Type="http://schemas.openxmlformats.org/officeDocument/2006/relationships/hyperlink" Target="https://fluxnet.org/sites/siteinfo/CN-Du2" TargetMode="External"/><Relationship Id="rId178" Type="http://schemas.openxmlformats.org/officeDocument/2006/relationships/hyperlink" Target="https://fluxnet.org/sites/siteinfo/DE-RuS" TargetMode="External"/><Relationship Id="rId301" Type="http://schemas.openxmlformats.org/officeDocument/2006/relationships/hyperlink" Target="https://fluxnet.org/sites/siteinfo/NZ-Kop" TargetMode="External"/><Relationship Id="rId343" Type="http://schemas.openxmlformats.org/officeDocument/2006/relationships/hyperlink" Target="https://fluxnet.org/sites/siteinfo/US-A03" TargetMode="External"/><Relationship Id="rId82" Type="http://schemas.openxmlformats.org/officeDocument/2006/relationships/hyperlink" Target="https://fluxnet.org/sites/siteinfo/CA-NS5" TargetMode="External"/><Relationship Id="rId203" Type="http://schemas.openxmlformats.org/officeDocument/2006/relationships/hyperlink" Target="https://fluxnet.org/sites/siteinfo/FI-Hyy" TargetMode="External"/><Relationship Id="rId385" Type="http://schemas.openxmlformats.org/officeDocument/2006/relationships/hyperlink" Target="https://fluxnet.org/sites/siteinfo/US-GBT" TargetMode="External"/><Relationship Id="rId245" Type="http://schemas.openxmlformats.org/officeDocument/2006/relationships/hyperlink" Target="https://fluxnet.org/sites/siteinfo/IT-CA2" TargetMode="External"/><Relationship Id="rId287" Type="http://schemas.openxmlformats.org/officeDocument/2006/relationships/hyperlink" Target="https://fluxnet.org/sites/siteinfo/JP-SMF" TargetMode="External"/><Relationship Id="rId410" Type="http://schemas.openxmlformats.org/officeDocument/2006/relationships/hyperlink" Target="https://fluxnet.org/sites/siteinfo/US-LA1" TargetMode="External"/><Relationship Id="rId452" Type="http://schemas.openxmlformats.org/officeDocument/2006/relationships/hyperlink" Target="https://fluxnet.org/sites/siteinfo/US-Ne3" TargetMode="External"/><Relationship Id="rId494" Type="http://schemas.openxmlformats.org/officeDocument/2006/relationships/hyperlink" Target="https://fluxnet.org/sites/siteinfo/US-Twt" TargetMode="External"/><Relationship Id="rId508" Type="http://schemas.openxmlformats.org/officeDocument/2006/relationships/hyperlink" Target="https://fluxnet.org/sites/siteinfo/US-Whs" TargetMode="External"/><Relationship Id="rId105" Type="http://schemas.openxmlformats.org/officeDocument/2006/relationships/hyperlink" Target="https://fluxnet.org/sites/siteinfo/CA-TP2" TargetMode="External"/><Relationship Id="rId147" Type="http://schemas.openxmlformats.org/officeDocument/2006/relationships/hyperlink" Target="https://fluxnet.org/sites/siteinfo/CN-Sw2" TargetMode="External"/><Relationship Id="rId312" Type="http://schemas.openxmlformats.org/officeDocument/2006/relationships/hyperlink" Target="https://fluxnet.org/sites/siteinfo/RU-Che" TargetMode="External"/><Relationship Id="rId354" Type="http://schemas.openxmlformats.org/officeDocument/2006/relationships/hyperlink" Target="https://fluxnet.org/sites/siteinfo/US-ARb" TargetMode="External"/><Relationship Id="rId51" Type="http://schemas.openxmlformats.org/officeDocument/2006/relationships/hyperlink" Target="https://fluxnet.org/sites/siteinfo/AU-Ync" TargetMode="External"/><Relationship Id="rId93" Type="http://schemas.openxmlformats.org/officeDocument/2006/relationships/hyperlink" Target="https://fluxnet.org/sites/siteinfo/CA-SCB" TargetMode="External"/><Relationship Id="rId189" Type="http://schemas.openxmlformats.org/officeDocument/2006/relationships/hyperlink" Target="https://fluxnet.org/sites/siteinfo/DK-Eng" TargetMode="External"/><Relationship Id="rId396" Type="http://schemas.openxmlformats.org/officeDocument/2006/relationships/hyperlink" Target="https://fluxnet.org/sites/siteinfo/US-Ha1" TargetMode="External"/><Relationship Id="rId214" Type="http://schemas.openxmlformats.org/officeDocument/2006/relationships/hyperlink" Target="https://fluxnet.org/sites/siteinfo/FI-Sii" TargetMode="External"/><Relationship Id="rId256" Type="http://schemas.openxmlformats.org/officeDocument/2006/relationships/hyperlink" Target="https://fluxnet.org/sites/siteinfo/IT-Cpz" TargetMode="External"/><Relationship Id="rId298" Type="http://schemas.openxmlformats.org/officeDocument/2006/relationships/hyperlink" Target="https://fluxnet.org/sites/siteinfo/NL-Hor" TargetMode="External"/><Relationship Id="rId421" Type="http://schemas.openxmlformats.org/officeDocument/2006/relationships/hyperlink" Target="https://fluxnet.org/sites/siteinfo/US-MMS" TargetMode="External"/><Relationship Id="rId463" Type="http://schemas.openxmlformats.org/officeDocument/2006/relationships/hyperlink" Target="https://fluxnet.org/sites/siteinfo/US-SRC" TargetMode="External"/><Relationship Id="rId519" Type="http://schemas.openxmlformats.org/officeDocument/2006/relationships/hyperlink" Target="https://fluxnet.org/sites/siteinfo/US-Wi5" TargetMode="External"/><Relationship Id="rId116" Type="http://schemas.openxmlformats.org/officeDocument/2006/relationships/hyperlink" Target="https://fluxnet.org/sites/siteinfo/CH-Cha" TargetMode="External"/><Relationship Id="rId158" Type="http://schemas.openxmlformats.org/officeDocument/2006/relationships/hyperlink" Target="https://fluxnet.org/sites/siteinfo/DE-Dgw" TargetMode="External"/><Relationship Id="rId323" Type="http://schemas.openxmlformats.org/officeDocument/2006/relationships/hyperlink" Target="https://fluxnet.org/sites/siteinfo/RU-SkP" TargetMode="External"/><Relationship Id="rId530" Type="http://schemas.openxmlformats.org/officeDocument/2006/relationships/hyperlink" Target="https://fluxnet.org/sites/siteinfo/US-Wkg" TargetMode="External"/><Relationship Id="rId20" Type="http://schemas.openxmlformats.org/officeDocument/2006/relationships/hyperlink" Target="https://fluxnet.org/sites/siteinfo/AU-Dry" TargetMode="External"/><Relationship Id="rId62" Type="http://schemas.openxmlformats.org/officeDocument/2006/relationships/hyperlink" Target="https://fluxnet.org/sites/siteinfo/BR-Sa1" TargetMode="External"/><Relationship Id="rId365" Type="http://schemas.openxmlformats.org/officeDocument/2006/relationships/hyperlink" Target="https://fluxnet.org/sites/siteinfo/US-Beo" TargetMode="External"/><Relationship Id="rId225" Type="http://schemas.openxmlformats.org/officeDocument/2006/relationships/hyperlink" Target="https://fluxnet.org/sites/siteinfo/FR-Pue" TargetMode="External"/><Relationship Id="rId267" Type="http://schemas.openxmlformats.org/officeDocument/2006/relationships/hyperlink" Target="https://fluxnet.org/sites/siteinfo/IT-PT1" TargetMode="External"/><Relationship Id="rId432" Type="http://schemas.openxmlformats.org/officeDocument/2006/relationships/hyperlink" Target="https://fluxnet.org/sites/siteinfo/US-Me4" TargetMode="External"/><Relationship Id="rId474" Type="http://schemas.openxmlformats.org/officeDocument/2006/relationships/hyperlink" Target="https://fluxnet.org/sites/siteinfo/US-Srr" TargetMode="External"/><Relationship Id="rId127" Type="http://schemas.openxmlformats.org/officeDocument/2006/relationships/hyperlink" Target="https://fluxnet.org/sites/siteinfo/CN-Cha" TargetMode="External"/><Relationship Id="rId31" Type="http://schemas.openxmlformats.org/officeDocument/2006/relationships/hyperlink" Target="https://fluxnet.org/sites/siteinfo/AU-Lox" TargetMode="External"/><Relationship Id="rId73" Type="http://schemas.openxmlformats.org/officeDocument/2006/relationships/hyperlink" Target="https://fluxnet.org/sites/siteinfo/CA-NS1" TargetMode="External"/><Relationship Id="rId169" Type="http://schemas.openxmlformats.org/officeDocument/2006/relationships/hyperlink" Target="https://fluxnet.org/sites/siteinfo/DE-Lkb" TargetMode="External"/><Relationship Id="rId334" Type="http://schemas.openxmlformats.org/officeDocument/2006/relationships/hyperlink" Target="https://fluxnet.org/sites/siteinfo/SE-St1" TargetMode="External"/><Relationship Id="rId376" Type="http://schemas.openxmlformats.org/officeDocument/2006/relationships/hyperlink" Target="https://fluxnet.org/sites/siteinfo/US-CRT" TargetMode="External"/><Relationship Id="rId4" Type="http://schemas.openxmlformats.org/officeDocument/2006/relationships/hyperlink" Target="https://fluxnet.org/sites/siteinfo/AR-Vir" TargetMode="External"/><Relationship Id="rId180" Type="http://schemas.openxmlformats.org/officeDocument/2006/relationships/hyperlink" Target="https://fluxnet.org/sites/siteinfo/DE-Seh" TargetMode="External"/><Relationship Id="rId236" Type="http://schemas.openxmlformats.org/officeDocument/2006/relationships/hyperlink" Target="https://fluxnet.org/sites/siteinfo/GL-ZaH" TargetMode="External"/><Relationship Id="rId278" Type="http://schemas.openxmlformats.org/officeDocument/2006/relationships/hyperlink" Target="https://fluxnet.org/sites/siteinfo/IT-SRo" TargetMode="External"/><Relationship Id="rId401" Type="http://schemas.openxmlformats.org/officeDocument/2006/relationships/hyperlink" Target="https://fluxnet.org/sites/siteinfo/US-ICs" TargetMode="External"/><Relationship Id="rId443" Type="http://schemas.openxmlformats.org/officeDocument/2006/relationships/hyperlink" Target="https://fluxnet.org/sites/siteinfo/US-NGC" TargetMode="External"/><Relationship Id="rId303" Type="http://schemas.openxmlformats.org/officeDocument/2006/relationships/hyperlink" Target="https://fluxnet.org/sites/siteinfo/PA-SPn" TargetMode="External"/><Relationship Id="rId485" Type="http://schemas.openxmlformats.org/officeDocument/2006/relationships/hyperlink" Target="https://fluxnet.org/sites/siteinfo/US-Tw2" TargetMode="External"/><Relationship Id="rId42" Type="http://schemas.openxmlformats.org/officeDocument/2006/relationships/hyperlink" Target="https://fluxnet.org/sites/siteinfo/AU-TTE" TargetMode="External"/><Relationship Id="rId84" Type="http://schemas.openxmlformats.org/officeDocument/2006/relationships/hyperlink" Target="https://fluxnet.org/sites/siteinfo/CA-NS6" TargetMode="External"/><Relationship Id="rId138" Type="http://schemas.openxmlformats.org/officeDocument/2006/relationships/hyperlink" Target="https://fluxnet.org/sites/siteinfo/CN-Du3" TargetMode="External"/><Relationship Id="rId345" Type="http://schemas.openxmlformats.org/officeDocument/2006/relationships/hyperlink" Target="https://fluxnet.org/sites/siteinfo/US-A10" TargetMode="External"/><Relationship Id="rId387" Type="http://schemas.openxmlformats.org/officeDocument/2006/relationships/hyperlink" Target="https://fluxnet.org/sites/siteinfo/US-GLE" TargetMode="External"/><Relationship Id="rId510" Type="http://schemas.openxmlformats.org/officeDocument/2006/relationships/hyperlink" Target="https://fluxnet.org/sites/siteinfo/US-Wi0" TargetMode="External"/><Relationship Id="rId191" Type="http://schemas.openxmlformats.org/officeDocument/2006/relationships/hyperlink" Target="https://fluxnet.org/sites/siteinfo/DK-Fou" TargetMode="External"/><Relationship Id="rId205" Type="http://schemas.openxmlformats.org/officeDocument/2006/relationships/hyperlink" Target="https://fluxnet.org/sites/siteinfo/FI-Jok" TargetMode="External"/><Relationship Id="rId247" Type="http://schemas.openxmlformats.org/officeDocument/2006/relationships/hyperlink" Target="https://fluxnet.org/sites/siteinfo/IT-CA3" TargetMode="External"/><Relationship Id="rId412" Type="http://schemas.openxmlformats.org/officeDocument/2006/relationships/hyperlink" Target="https://fluxnet.org/sites/siteinfo/US-LA2" TargetMode="External"/><Relationship Id="rId107" Type="http://schemas.openxmlformats.org/officeDocument/2006/relationships/hyperlink" Target="https://fluxnet.org/sites/siteinfo/CA-TP3" TargetMode="External"/><Relationship Id="rId289" Type="http://schemas.openxmlformats.org/officeDocument/2006/relationships/hyperlink" Target="https://fluxnet.org/sites/siteinfo/JP-SwL" TargetMode="External"/><Relationship Id="rId454" Type="http://schemas.openxmlformats.org/officeDocument/2006/relationships/hyperlink" Target="https://fluxnet.org/sites/siteinfo/US-ORv" TargetMode="External"/><Relationship Id="rId496" Type="http://schemas.openxmlformats.org/officeDocument/2006/relationships/hyperlink" Target="https://fluxnet.org/sites/siteinfo/US-UMB" TargetMode="External"/><Relationship Id="rId11" Type="http://schemas.openxmlformats.org/officeDocument/2006/relationships/hyperlink" Target="https://fluxnet.org/sites/siteinfo/AU-Cpr" TargetMode="External"/><Relationship Id="rId53" Type="http://schemas.openxmlformats.org/officeDocument/2006/relationships/hyperlink" Target="https://fluxnet.org/sites/siteinfo/BE-Bra" TargetMode="External"/><Relationship Id="rId149" Type="http://schemas.openxmlformats.org/officeDocument/2006/relationships/hyperlink" Target="https://fluxnet.org/sites/siteinfo/CZ-BK1" TargetMode="External"/><Relationship Id="rId314" Type="http://schemas.openxmlformats.org/officeDocument/2006/relationships/hyperlink" Target="https://fluxnet.org/sites/siteinfo/RU-Cok" TargetMode="External"/><Relationship Id="rId356" Type="http://schemas.openxmlformats.org/officeDocument/2006/relationships/hyperlink" Target="https://fluxnet.org/sites/siteinfo/US-ARc" TargetMode="External"/><Relationship Id="rId398" Type="http://schemas.openxmlformats.org/officeDocument/2006/relationships/hyperlink" Target="https://fluxnet.org/sites/siteinfo/US-Ho1" TargetMode="External"/><Relationship Id="rId521" Type="http://schemas.openxmlformats.org/officeDocument/2006/relationships/hyperlink" Target="https://fluxnet.org/sites/siteinfo/US-Wi6" TargetMode="External"/><Relationship Id="rId95" Type="http://schemas.openxmlformats.org/officeDocument/2006/relationships/hyperlink" Target="https://fluxnet.org/sites/siteinfo/CA-SCC" TargetMode="External"/><Relationship Id="rId160" Type="http://schemas.openxmlformats.org/officeDocument/2006/relationships/hyperlink" Target="https://fluxnet.org/sites/siteinfo/DE-Geb" TargetMode="External"/><Relationship Id="rId216" Type="http://schemas.openxmlformats.org/officeDocument/2006/relationships/hyperlink" Target="https://fluxnet.org/sites/siteinfo/FI-Sod" TargetMode="External"/><Relationship Id="rId423" Type="http://schemas.openxmlformats.org/officeDocument/2006/relationships/hyperlink" Target="https://fluxnet.org/sites/siteinfo/US-MRM" TargetMode="External"/><Relationship Id="rId258" Type="http://schemas.openxmlformats.org/officeDocument/2006/relationships/hyperlink" Target="https://fluxnet.org/sites/siteinfo/IT-Isp" TargetMode="External"/><Relationship Id="rId465" Type="http://schemas.openxmlformats.org/officeDocument/2006/relationships/hyperlink" Target="https://fluxnet.org/sites/siteinfo/US-SRG" TargetMode="External"/><Relationship Id="rId22" Type="http://schemas.openxmlformats.org/officeDocument/2006/relationships/hyperlink" Target="https://fluxnet.org/sites/siteinfo/AU-Emr" TargetMode="External"/><Relationship Id="rId64" Type="http://schemas.openxmlformats.org/officeDocument/2006/relationships/hyperlink" Target="https://fluxnet.org/sites/siteinfo/BR-Sa3" TargetMode="External"/><Relationship Id="rId118" Type="http://schemas.openxmlformats.org/officeDocument/2006/relationships/hyperlink" Target="https://fluxnet.org/sites/siteinfo/CH-Dav" TargetMode="External"/><Relationship Id="rId325" Type="http://schemas.openxmlformats.org/officeDocument/2006/relationships/hyperlink" Target="https://fluxnet.org/sites/siteinfo/RU-Tks" TargetMode="External"/><Relationship Id="rId367" Type="http://schemas.openxmlformats.org/officeDocument/2006/relationships/hyperlink" Target="https://fluxnet.org/sites/siteinfo/US-Bes" TargetMode="External"/><Relationship Id="rId532" Type="http://schemas.openxmlformats.org/officeDocument/2006/relationships/hyperlink" Target="https://fluxnet.org/sites/siteinfo/ZA-Kru" TargetMode="External"/><Relationship Id="rId171" Type="http://schemas.openxmlformats.org/officeDocument/2006/relationships/hyperlink" Target="https://fluxnet.org/sites/siteinfo/DE-Lnf" TargetMode="External"/><Relationship Id="rId227" Type="http://schemas.openxmlformats.org/officeDocument/2006/relationships/hyperlink" Target="https://fluxnet.org/sites/siteinfo/GF-Guy" TargetMode="External"/><Relationship Id="rId269" Type="http://schemas.openxmlformats.org/officeDocument/2006/relationships/hyperlink" Target="https://fluxnet.org/sites/siteinfo/IT-Ren" TargetMode="External"/><Relationship Id="rId434" Type="http://schemas.openxmlformats.org/officeDocument/2006/relationships/hyperlink" Target="https://fluxnet.org/sites/siteinfo/US-Me5" TargetMode="External"/><Relationship Id="rId476" Type="http://schemas.openxmlformats.org/officeDocument/2006/relationships/hyperlink" Target="https://fluxnet.org/sites/siteinfo/US-StJ" TargetMode="External"/><Relationship Id="rId33" Type="http://schemas.openxmlformats.org/officeDocument/2006/relationships/hyperlink" Target="https://fluxnet.org/sites/siteinfo/AU-RDF" TargetMode="External"/><Relationship Id="rId129" Type="http://schemas.openxmlformats.org/officeDocument/2006/relationships/hyperlink" Target="https://fluxnet.org/sites/siteinfo/CN-Cng" TargetMode="External"/><Relationship Id="rId280" Type="http://schemas.openxmlformats.org/officeDocument/2006/relationships/hyperlink" Target="https://fluxnet.org/sites/siteinfo/IT-Tor" TargetMode="External"/><Relationship Id="rId336" Type="http://schemas.openxmlformats.org/officeDocument/2006/relationships/hyperlink" Target="https://fluxnet.org/sites/siteinfo/SJ-Adv" TargetMode="External"/><Relationship Id="rId501" Type="http://schemas.openxmlformats.org/officeDocument/2006/relationships/hyperlink" Target="https://fluxnet.org/sites/siteinfo/US-Var" TargetMode="External"/><Relationship Id="rId75" Type="http://schemas.openxmlformats.org/officeDocument/2006/relationships/hyperlink" Target="https://fluxnet.org/sites/siteinfo/CA-NS2" TargetMode="External"/><Relationship Id="rId140" Type="http://schemas.openxmlformats.org/officeDocument/2006/relationships/hyperlink" Target="https://fluxnet.org/sites/siteinfo/CN-Ha2" TargetMode="External"/><Relationship Id="rId182" Type="http://schemas.openxmlformats.org/officeDocument/2006/relationships/hyperlink" Target="https://fluxnet.org/sites/siteinfo/DE-SfN" TargetMode="External"/><Relationship Id="rId378" Type="http://schemas.openxmlformats.org/officeDocument/2006/relationships/hyperlink" Target="https://fluxnet.org/sites/siteinfo/US-Cop" TargetMode="External"/><Relationship Id="rId403" Type="http://schemas.openxmlformats.org/officeDocument/2006/relationships/hyperlink" Target="https://fluxnet.org/sites/siteinfo/US-Ivo" TargetMode="External"/><Relationship Id="rId6" Type="http://schemas.openxmlformats.org/officeDocument/2006/relationships/hyperlink" Target="https://fluxnet.org/sites/siteinfo/AT-Neu" TargetMode="External"/><Relationship Id="rId238" Type="http://schemas.openxmlformats.org/officeDocument/2006/relationships/hyperlink" Target="https://fluxnet.org/sites/siteinfo/HK-MPM" TargetMode="External"/><Relationship Id="rId445" Type="http://schemas.openxmlformats.org/officeDocument/2006/relationships/hyperlink" Target="https://fluxnet.org/sites/siteinfo/US-NR1" TargetMode="External"/><Relationship Id="rId487" Type="http://schemas.openxmlformats.org/officeDocument/2006/relationships/hyperlink" Target="https://fluxnet.org/sites/siteinfo/US-Tw3" TargetMode="External"/><Relationship Id="rId291" Type="http://schemas.openxmlformats.org/officeDocument/2006/relationships/hyperlink" Target="https://fluxnet.org/sites/siteinfo/KR-CRK" TargetMode="External"/><Relationship Id="rId305" Type="http://schemas.openxmlformats.org/officeDocument/2006/relationships/hyperlink" Target="https://fluxnet.org/sites/siteinfo/PA-SPs" TargetMode="External"/><Relationship Id="rId347" Type="http://schemas.openxmlformats.org/officeDocument/2006/relationships/hyperlink" Target="https://fluxnet.org/sites/siteinfo/US-AR1" TargetMode="External"/><Relationship Id="rId512" Type="http://schemas.openxmlformats.org/officeDocument/2006/relationships/hyperlink" Target="https://fluxnet.org/sites/siteinfo/US-Wi1" TargetMode="External"/><Relationship Id="rId44" Type="http://schemas.openxmlformats.org/officeDocument/2006/relationships/hyperlink" Target="https://fluxnet.org/sites/siteinfo/AU-Tum" TargetMode="External"/><Relationship Id="rId86" Type="http://schemas.openxmlformats.org/officeDocument/2006/relationships/hyperlink" Target="https://fluxnet.org/sites/siteinfo/CA-NS7" TargetMode="External"/><Relationship Id="rId151" Type="http://schemas.openxmlformats.org/officeDocument/2006/relationships/hyperlink" Target="https://fluxnet.org/sites/siteinfo/CZ-BK2" TargetMode="External"/><Relationship Id="rId389" Type="http://schemas.openxmlformats.org/officeDocument/2006/relationships/hyperlink" Target="https://fluxnet.org/sites/siteinfo/US-Goo" TargetMode="External"/><Relationship Id="rId193" Type="http://schemas.openxmlformats.org/officeDocument/2006/relationships/hyperlink" Target="https://fluxnet.org/sites/siteinfo/DK-Sor" TargetMode="External"/><Relationship Id="rId207" Type="http://schemas.openxmlformats.org/officeDocument/2006/relationships/hyperlink" Target="https://fluxnet.org/sites/siteinfo/FI-Let" TargetMode="External"/><Relationship Id="rId249" Type="http://schemas.openxmlformats.org/officeDocument/2006/relationships/hyperlink" Target="https://fluxnet.org/sites/siteinfo/IT-Cas" TargetMode="External"/><Relationship Id="rId414" Type="http://schemas.openxmlformats.org/officeDocument/2006/relationships/hyperlink" Target="https://fluxnet.org/sites/siteinfo/US-LWW" TargetMode="External"/><Relationship Id="rId456" Type="http://schemas.openxmlformats.org/officeDocument/2006/relationships/hyperlink" Target="https://fluxnet.org/sites/siteinfo/US-OWC" TargetMode="External"/><Relationship Id="rId498" Type="http://schemas.openxmlformats.org/officeDocument/2006/relationships/hyperlink" Target="https://fluxnet.org/sites/siteinfo/US-UMd" TargetMode="External"/><Relationship Id="rId13" Type="http://schemas.openxmlformats.org/officeDocument/2006/relationships/hyperlink" Target="https://fluxnet.org/sites/siteinfo/AU-Cum" TargetMode="External"/><Relationship Id="rId109" Type="http://schemas.openxmlformats.org/officeDocument/2006/relationships/hyperlink" Target="https://fluxnet.org/sites/siteinfo/CA-TP4" TargetMode="External"/><Relationship Id="rId260" Type="http://schemas.openxmlformats.org/officeDocument/2006/relationships/hyperlink" Target="https://fluxnet.org/sites/siteinfo/IT-La2" TargetMode="External"/><Relationship Id="rId316" Type="http://schemas.openxmlformats.org/officeDocument/2006/relationships/hyperlink" Target="https://fluxnet.org/sites/siteinfo/RU-Fy2" TargetMode="External"/><Relationship Id="rId523" Type="http://schemas.openxmlformats.org/officeDocument/2006/relationships/hyperlink" Target="https://fluxnet.org/sites/siteinfo/US-Wi7" TargetMode="External"/><Relationship Id="rId55" Type="http://schemas.openxmlformats.org/officeDocument/2006/relationships/hyperlink" Target="https://fluxnet.org/sites/siteinfo/BE-Lon" TargetMode="External"/><Relationship Id="rId97" Type="http://schemas.openxmlformats.org/officeDocument/2006/relationships/hyperlink" Target="https://fluxnet.org/sites/siteinfo/CA-SF1" TargetMode="External"/><Relationship Id="rId120" Type="http://schemas.openxmlformats.org/officeDocument/2006/relationships/hyperlink" Target="https://fluxnet.org/sites/siteinfo/CH-Fru" TargetMode="External"/><Relationship Id="rId358" Type="http://schemas.openxmlformats.org/officeDocument/2006/relationships/hyperlink" Target="https://fluxnet.org/sites/siteinfo/US-Atq" TargetMode="External"/><Relationship Id="rId162" Type="http://schemas.openxmlformats.org/officeDocument/2006/relationships/hyperlink" Target="https://fluxnet.org/sites/siteinfo/DE-Gri" TargetMode="External"/><Relationship Id="rId218" Type="http://schemas.openxmlformats.org/officeDocument/2006/relationships/hyperlink" Target="https://fluxnet.org/sites/siteinfo/FR-Fon" TargetMode="External"/><Relationship Id="rId425" Type="http://schemas.openxmlformats.org/officeDocument/2006/relationships/hyperlink" Target="https://fluxnet.org/sites/siteinfo/US-Me1" TargetMode="External"/><Relationship Id="rId467" Type="http://schemas.openxmlformats.org/officeDocument/2006/relationships/hyperlink" Target="https://fluxnet.org/sites/siteinfo/US-SRM" TargetMode="External"/><Relationship Id="rId271" Type="http://schemas.openxmlformats.org/officeDocument/2006/relationships/hyperlink" Target="https://fluxnet.org/sites/siteinfo/IT-Ro1" TargetMode="External"/><Relationship Id="rId24" Type="http://schemas.openxmlformats.org/officeDocument/2006/relationships/hyperlink" Target="https://fluxnet.org/sites/siteinfo/AU-Fog" TargetMode="External"/><Relationship Id="rId66" Type="http://schemas.openxmlformats.org/officeDocument/2006/relationships/hyperlink" Target="https://fluxnet.org/sites/siteinfo/BW-Gum" TargetMode="External"/><Relationship Id="rId131" Type="http://schemas.openxmlformats.org/officeDocument/2006/relationships/hyperlink" Target="https://fluxnet.org/sites/siteinfo/CN-Dan" TargetMode="External"/><Relationship Id="rId327" Type="http://schemas.openxmlformats.org/officeDocument/2006/relationships/hyperlink" Target="https://fluxnet.org/sites/siteinfo/RU-Vrk" TargetMode="External"/><Relationship Id="rId369" Type="http://schemas.openxmlformats.org/officeDocument/2006/relationships/hyperlink" Target="https://fluxnet.org/sites/siteinfo/US-Bi1" TargetMode="External"/><Relationship Id="rId534" Type="http://schemas.openxmlformats.org/officeDocument/2006/relationships/hyperlink" Target="https://fluxnet.org/sites/siteinfo/ZM-Mon" TargetMode="External"/><Relationship Id="rId173" Type="http://schemas.openxmlformats.org/officeDocument/2006/relationships/hyperlink" Target="https://fluxnet.org/sites/siteinfo/DE-Obe" TargetMode="External"/><Relationship Id="rId229" Type="http://schemas.openxmlformats.org/officeDocument/2006/relationships/hyperlink" Target="https://fluxnet.org/sites/siteinfo/GH-Ank" TargetMode="External"/><Relationship Id="rId380" Type="http://schemas.openxmlformats.org/officeDocument/2006/relationships/hyperlink" Target="https://fluxnet.org/sites/siteinfo/US-DPW" TargetMode="External"/><Relationship Id="rId436" Type="http://schemas.openxmlformats.org/officeDocument/2006/relationships/hyperlink" Target="https://fluxnet.org/sites/siteinfo/US-Me6" TargetMode="External"/><Relationship Id="rId240" Type="http://schemas.openxmlformats.org/officeDocument/2006/relationships/hyperlink" Target="https://fluxnet.org/sites/siteinfo/ID-Pag" TargetMode="External"/><Relationship Id="rId478" Type="http://schemas.openxmlformats.org/officeDocument/2006/relationships/hyperlink" Target="https://fluxnet.org/sites/siteinfo/US-Sta" TargetMode="External"/><Relationship Id="rId35" Type="http://schemas.openxmlformats.org/officeDocument/2006/relationships/hyperlink" Target="https://fluxnet.org/sites/siteinfo/AU-Rig" TargetMode="External"/><Relationship Id="rId77" Type="http://schemas.openxmlformats.org/officeDocument/2006/relationships/hyperlink" Target="https://fluxnet.org/sites/siteinfo/CA-NS3" TargetMode="External"/><Relationship Id="rId100" Type="http://schemas.openxmlformats.org/officeDocument/2006/relationships/hyperlink" Target="https://fluxnet.org/sites/siteinfo/CA-SF2" TargetMode="External"/><Relationship Id="rId282" Type="http://schemas.openxmlformats.org/officeDocument/2006/relationships/hyperlink" Target="https://fluxnet.org/sites/siteinfo/JP-BBY" TargetMode="External"/><Relationship Id="rId338" Type="http://schemas.openxmlformats.org/officeDocument/2006/relationships/hyperlink" Target="https://fluxnet.org/sites/siteinfo/SJ-Blv" TargetMode="External"/><Relationship Id="rId503" Type="http://schemas.openxmlformats.org/officeDocument/2006/relationships/hyperlink" Target="https://fluxnet.org/sites/siteinfo/US-WCr" TargetMode="External"/><Relationship Id="rId8" Type="http://schemas.openxmlformats.org/officeDocument/2006/relationships/hyperlink" Target="https://fluxnet.org/sites/siteinfo/AU-ASM" TargetMode="External"/><Relationship Id="rId142" Type="http://schemas.openxmlformats.org/officeDocument/2006/relationships/hyperlink" Target="https://fluxnet.org/sites/siteinfo/CN-HaM" TargetMode="External"/><Relationship Id="rId184" Type="http://schemas.openxmlformats.org/officeDocument/2006/relationships/hyperlink" Target="https://fluxnet.org/sites/siteinfo/DE-Spw" TargetMode="External"/><Relationship Id="rId391" Type="http://schemas.openxmlformats.org/officeDocument/2006/relationships/hyperlink" Target="https://fluxnet.org/sites/siteinfo/US-HRA" TargetMode="External"/><Relationship Id="rId405" Type="http://schemas.openxmlformats.org/officeDocument/2006/relationships/hyperlink" Target="https://fluxnet.org/sites/siteinfo/US-KS1" TargetMode="External"/><Relationship Id="rId447" Type="http://schemas.openxmlformats.org/officeDocument/2006/relationships/hyperlink" Target="https://fluxnet.org/sites/siteinfo/US-Ne1" TargetMode="External"/><Relationship Id="rId251" Type="http://schemas.openxmlformats.org/officeDocument/2006/relationships/hyperlink" Target="https://fluxnet.org/sites/siteinfo/IT-Col" TargetMode="External"/><Relationship Id="rId489" Type="http://schemas.openxmlformats.org/officeDocument/2006/relationships/hyperlink" Target="https://fluxnet.org/sites/siteinfo/US-Tw4" TargetMode="External"/><Relationship Id="rId46" Type="http://schemas.openxmlformats.org/officeDocument/2006/relationships/hyperlink" Target="https://fluxnet.org/sites/siteinfo/AU-Wac" TargetMode="External"/><Relationship Id="rId293" Type="http://schemas.openxmlformats.org/officeDocument/2006/relationships/hyperlink" Target="https://fluxnet.org/sites/siteinfo/MY-MLM" TargetMode="External"/><Relationship Id="rId307" Type="http://schemas.openxmlformats.org/officeDocument/2006/relationships/hyperlink" Target="https://fluxnet.org/sites/siteinfo/PH-RiF" TargetMode="External"/><Relationship Id="rId349" Type="http://schemas.openxmlformats.org/officeDocument/2006/relationships/hyperlink" Target="https://fluxnet.org/sites/siteinfo/US-AR2" TargetMode="External"/><Relationship Id="rId514" Type="http://schemas.openxmlformats.org/officeDocument/2006/relationships/hyperlink" Target="https://fluxnet.org/sites/siteinfo/US-Wi2" TargetMode="External"/><Relationship Id="rId88" Type="http://schemas.openxmlformats.org/officeDocument/2006/relationships/hyperlink" Target="https://fluxnet.org/sites/siteinfo/CA-Oas" TargetMode="External"/><Relationship Id="rId111" Type="http://schemas.openxmlformats.org/officeDocument/2006/relationships/hyperlink" Target="https://fluxnet.org/sites/siteinfo/CA-TPD" TargetMode="External"/><Relationship Id="rId153" Type="http://schemas.openxmlformats.org/officeDocument/2006/relationships/hyperlink" Target="https://fluxnet.org/sites/siteinfo/CZ-wet" TargetMode="External"/><Relationship Id="rId195" Type="http://schemas.openxmlformats.org/officeDocument/2006/relationships/hyperlink" Target="https://fluxnet.org/sites/siteinfo/ES-Amo" TargetMode="External"/><Relationship Id="rId209" Type="http://schemas.openxmlformats.org/officeDocument/2006/relationships/hyperlink" Target="https://fluxnet.org/sites/siteinfo/FI-Lom" TargetMode="External"/><Relationship Id="rId360" Type="http://schemas.openxmlformats.org/officeDocument/2006/relationships/hyperlink" Target="https://fluxnet.org/sites/siteinfo/US-BZB" TargetMode="External"/><Relationship Id="rId416" Type="http://schemas.openxmlformats.org/officeDocument/2006/relationships/hyperlink" Target="https://fluxnet.org/sites/siteinfo/US-Lin" TargetMode="External"/><Relationship Id="rId220" Type="http://schemas.openxmlformats.org/officeDocument/2006/relationships/hyperlink" Target="https://fluxnet.org/sites/siteinfo/FR-Gri" TargetMode="External"/><Relationship Id="rId458" Type="http://schemas.openxmlformats.org/officeDocument/2006/relationships/hyperlink" Target="https://fluxnet.org/sites/siteinfo/US-Oho" TargetMode="External"/><Relationship Id="rId15" Type="http://schemas.openxmlformats.org/officeDocument/2006/relationships/hyperlink" Target="https://fluxnet.org/sites/siteinfo/AU-DaP" TargetMode="External"/><Relationship Id="rId57" Type="http://schemas.openxmlformats.org/officeDocument/2006/relationships/hyperlink" Target="https://fluxnet.org/sites/siteinfo/BE-Vie" TargetMode="External"/><Relationship Id="rId262" Type="http://schemas.openxmlformats.org/officeDocument/2006/relationships/hyperlink" Target="https://fluxnet.org/sites/siteinfo/IT-Lav" TargetMode="External"/><Relationship Id="rId318" Type="http://schemas.openxmlformats.org/officeDocument/2006/relationships/hyperlink" Target="https://fluxnet.org/sites/siteinfo/RU-Fyo" TargetMode="External"/><Relationship Id="rId525" Type="http://schemas.openxmlformats.org/officeDocument/2006/relationships/hyperlink" Target="https://fluxnet.org/sites/siteinfo/US-Wi8" TargetMode="External"/><Relationship Id="rId99" Type="http://schemas.openxmlformats.org/officeDocument/2006/relationships/hyperlink" Target="https://fluxnet.org/sites/siteinfo/CA-SF2" TargetMode="External"/><Relationship Id="rId122" Type="http://schemas.openxmlformats.org/officeDocument/2006/relationships/hyperlink" Target="https://fluxnet.org/sites/siteinfo/CH-Lae" TargetMode="External"/><Relationship Id="rId164" Type="http://schemas.openxmlformats.org/officeDocument/2006/relationships/hyperlink" Target="https://fluxnet.org/sites/siteinfo/DE-Hai" TargetMode="External"/><Relationship Id="rId371" Type="http://schemas.openxmlformats.org/officeDocument/2006/relationships/hyperlink" Target="https://fluxnet.org/sites/siteinfo/US-Bi2" TargetMode="External"/><Relationship Id="rId427" Type="http://schemas.openxmlformats.org/officeDocument/2006/relationships/hyperlink" Target="https://fluxnet.org/sites/siteinfo/US-Me2" TargetMode="External"/><Relationship Id="rId469" Type="http://schemas.openxmlformats.org/officeDocument/2006/relationships/hyperlink" Target="https://fluxnet.org/sites/siteinfo/US-Snd" TargetMode="External"/><Relationship Id="rId26" Type="http://schemas.openxmlformats.org/officeDocument/2006/relationships/hyperlink" Target="https://fluxnet.org/sites/siteinfo/AU-GWW" TargetMode="External"/><Relationship Id="rId231" Type="http://schemas.openxmlformats.org/officeDocument/2006/relationships/hyperlink" Target="https://fluxnet.org/sites/siteinfo/GL-NuF" TargetMode="External"/><Relationship Id="rId273" Type="http://schemas.openxmlformats.org/officeDocument/2006/relationships/hyperlink" Target="https://fluxnet.org/sites/siteinfo/IT-Ro2" TargetMode="External"/><Relationship Id="rId329" Type="http://schemas.openxmlformats.org/officeDocument/2006/relationships/hyperlink" Target="https://fluxnet.org/sites/siteinfo/SD-Dem" TargetMode="External"/><Relationship Id="rId480" Type="http://schemas.openxmlformats.org/officeDocument/2006/relationships/hyperlink" Target="https://fluxnet.org/sites/siteinfo/US-Syv" TargetMode="External"/><Relationship Id="rId68" Type="http://schemas.openxmlformats.org/officeDocument/2006/relationships/hyperlink" Target="https://fluxnet.org/sites/siteinfo/BW-Nxr" TargetMode="External"/><Relationship Id="rId133" Type="http://schemas.openxmlformats.org/officeDocument/2006/relationships/hyperlink" Target="https://fluxnet.org/sites/siteinfo/CN-Din" TargetMode="External"/><Relationship Id="rId175" Type="http://schemas.openxmlformats.org/officeDocument/2006/relationships/hyperlink" Target="https://fluxnet.org/sites/siteinfo/DE-RuR" TargetMode="External"/><Relationship Id="rId340" Type="http://schemas.openxmlformats.org/officeDocument/2006/relationships/hyperlink" Target="https://fluxnet.org/sites/siteinfo/SN-Dhr" TargetMode="External"/><Relationship Id="rId200" Type="http://schemas.openxmlformats.org/officeDocument/2006/relationships/hyperlink" Target="https://fluxnet.org/sites/siteinfo/ES-LgS" TargetMode="External"/><Relationship Id="rId382" Type="http://schemas.openxmlformats.org/officeDocument/2006/relationships/hyperlink" Target="https://fluxnet.org/sites/siteinfo/US-EDN" TargetMode="External"/><Relationship Id="rId438" Type="http://schemas.openxmlformats.org/officeDocument/2006/relationships/hyperlink" Target="https://fluxnet.org/sites/siteinfo/US-Myb" TargetMode="External"/><Relationship Id="rId242" Type="http://schemas.openxmlformats.org/officeDocument/2006/relationships/hyperlink" Target="https://fluxnet.org/sites/siteinfo/IT-BCi" TargetMode="External"/><Relationship Id="rId284" Type="http://schemas.openxmlformats.org/officeDocument/2006/relationships/hyperlink" Target="https://fluxnet.org/sites/siteinfo/JP-MBF" TargetMode="External"/><Relationship Id="rId491" Type="http://schemas.openxmlformats.org/officeDocument/2006/relationships/hyperlink" Target="https://fluxnet.org/sites/siteinfo/US-Tw5" TargetMode="External"/><Relationship Id="rId505" Type="http://schemas.openxmlformats.org/officeDocument/2006/relationships/hyperlink" Target="https://fluxnet.org/sites/siteinfo/US-WPT" TargetMode="External"/><Relationship Id="rId37" Type="http://schemas.openxmlformats.org/officeDocument/2006/relationships/hyperlink" Target="https://fluxnet.org/sites/siteinfo/AU-Rob" TargetMode="External"/><Relationship Id="rId79" Type="http://schemas.openxmlformats.org/officeDocument/2006/relationships/hyperlink" Target="https://fluxnet.org/sites/siteinfo/CA-NS4" TargetMode="External"/><Relationship Id="rId102" Type="http://schemas.openxmlformats.org/officeDocument/2006/relationships/hyperlink" Target="https://fluxnet.org/sites/siteinfo/CA-SF3" TargetMode="External"/><Relationship Id="rId144" Type="http://schemas.openxmlformats.org/officeDocument/2006/relationships/hyperlink" Target="https://fluxnet.org/sites/siteinfo/CN-Hgu" TargetMode="External"/><Relationship Id="rId90" Type="http://schemas.openxmlformats.org/officeDocument/2006/relationships/hyperlink" Target="https://fluxnet.org/sites/siteinfo/CA-Obs" TargetMode="External"/><Relationship Id="rId186" Type="http://schemas.openxmlformats.org/officeDocument/2006/relationships/hyperlink" Target="https://fluxnet.org/sites/siteinfo/DE-Tha" TargetMode="External"/><Relationship Id="rId351" Type="http://schemas.openxmlformats.org/officeDocument/2006/relationships/hyperlink" Target="https://fluxnet.org/sites/siteinfo/US-ARM" TargetMode="External"/><Relationship Id="rId393" Type="http://schemas.openxmlformats.org/officeDocument/2006/relationships/hyperlink" Target="https://fluxnet.org/sites/siteinfo/US-HRC" TargetMode="External"/><Relationship Id="rId407" Type="http://schemas.openxmlformats.org/officeDocument/2006/relationships/hyperlink" Target="https://fluxnet.org/sites/siteinfo/US-KS2" TargetMode="External"/><Relationship Id="rId449" Type="http://schemas.openxmlformats.org/officeDocument/2006/relationships/hyperlink" Target="https://fluxnet.org/sites/siteinfo/US-Ne2" TargetMode="External"/><Relationship Id="rId211" Type="http://schemas.openxmlformats.org/officeDocument/2006/relationships/hyperlink" Target="https://fluxnet.org/sites/siteinfo/FI-Si2" TargetMode="External"/><Relationship Id="rId253" Type="http://schemas.openxmlformats.org/officeDocument/2006/relationships/hyperlink" Target="https://fluxnet.org/sites/siteinfo/IT-Cp2" TargetMode="External"/><Relationship Id="rId295" Type="http://schemas.openxmlformats.org/officeDocument/2006/relationships/hyperlink" Target="https://fluxnet.org/sites/siteinfo/MY-PSO" TargetMode="External"/><Relationship Id="rId309" Type="http://schemas.openxmlformats.org/officeDocument/2006/relationships/hyperlink" Target="https://fluxnet.org/sites/siteinfo/RU-Ch2" TargetMode="External"/><Relationship Id="rId460" Type="http://schemas.openxmlformats.org/officeDocument/2006/relationships/hyperlink" Target="https://fluxnet.org/sites/siteinfo/US-PFa" TargetMode="External"/><Relationship Id="rId516" Type="http://schemas.openxmlformats.org/officeDocument/2006/relationships/hyperlink" Target="https://fluxnet.org/sites/siteinfo/US-Wi3" TargetMode="External"/><Relationship Id="rId48" Type="http://schemas.openxmlformats.org/officeDocument/2006/relationships/hyperlink" Target="https://fluxnet.org/sites/siteinfo/AU-Whr" TargetMode="External"/><Relationship Id="rId113" Type="http://schemas.openxmlformats.org/officeDocument/2006/relationships/hyperlink" Target="https://fluxnet.org/sites/siteinfo/CG-Tch" TargetMode="External"/><Relationship Id="rId320" Type="http://schemas.openxmlformats.org/officeDocument/2006/relationships/hyperlink" Target="https://fluxnet.org/sites/siteinfo/RU-Ha1" TargetMode="External"/><Relationship Id="rId155" Type="http://schemas.openxmlformats.org/officeDocument/2006/relationships/hyperlink" Target="https://fluxnet.org/sites/siteinfo/DE-Akm" TargetMode="External"/><Relationship Id="rId197" Type="http://schemas.openxmlformats.org/officeDocument/2006/relationships/hyperlink" Target="https://fluxnet.org/sites/siteinfo/ES-LJu" TargetMode="External"/><Relationship Id="rId362" Type="http://schemas.openxmlformats.org/officeDocument/2006/relationships/hyperlink" Target="https://fluxnet.org/sites/siteinfo/US-BZF" TargetMode="External"/><Relationship Id="rId418" Type="http://schemas.openxmlformats.org/officeDocument/2006/relationships/hyperlink" Target="https://fluxnet.org/sites/siteinfo/US-Los" TargetMode="External"/><Relationship Id="rId222" Type="http://schemas.openxmlformats.org/officeDocument/2006/relationships/hyperlink" Target="https://fluxnet.org/sites/siteinfo/FR-LBr" TargetMode="External"/><Relationship Id="rId264" Type="http://schemas.openxmlformats.org/officeDocument/2006/relationships/hyperlink" Target="https://fluxnet.org/sites/siteinfo/IT-MBo" TargetMode="External"/><Relationship Id="rId471" Type="http://schemas.openxmlformats.org/officeDocument/2006/relationships/hyperlink" Target="https://fluxnet.org/sites/siteinfo/US-Sne" TargetMode="External"/><Relationship Id="rId17" Type="http://schemas.openxmlformats.org/officeDocument/2006/relationships/hyperlink" Target="https://fluxnet.org/sites/siteinfo/AU-DaS" TargetMode="External"/><Relationship Id="rId59" Type="http://schemas.openxmlformats.org/officeDocument/2006/relationships/hyperlink" Target="https://fluxnet.org/sites/siteinfo/BR-Npw" TargetMode="External"/><Relationship Id="rId124" Type="http://schemas.openxmlformats.org/officeDocument/2006/relationships/hyperlink" Target="https://fluxnet.org/sites/siteinfo/CH-Oe1" TargetMode="External"/><Relationship Id="rId527" Type="http://schemas.openxmlformats.org/officeDocument/2006/relationships/hyperlink" Target="https://fluxnet.org/sites/siteinfo/US-Wi9" TargetMode="External"/><Relationship Id="rId70" Type="http://schemas.openxmlformats.org/officeDocument/2006/relationships/hyperlink" Target="https://fluxnet.org/sites/siteinfo/CA-Gro" TargetMode="External"/><Relationship Id="rId166" Type="http://schemas.openxmlformats.org/officeDocument/2006/relationships/hyperlink" Target="https://fluxnet.org/sites/siteinfo/DE-Hte" TargetMode="External"/><Relationship Id="rId331" Type="http://schemas.openxmlformats.org/officeDocument/2006/relationships/hyperlink" Target="https://fluxnet.org/sites/siteinfo/SE-Deg" TargetMode="External"/><Relationship Id="rId373" Type="http://schemas.openxmlformats.org/officeDocument/2006/relationships/hyperlink" Target="https://fluxnet.org/sites/siteinfo/US-Blo" TargetMode="External"/><Relationship Id="rId429" Type="http://schemas.openxmlformats.org/officeDocument/2006/relationships/hyperlink" Target="https://fluxnet.org/sites/siteinfo/US-Me3" TargetMode="External"/><Relationship Id="rId1" Type="http://schemas.openxmlformats.org/officeDocument/2006/relationships/hyperlink" Target="https://fluxnet.org/sites/siteinfo/AR-SLu" TargetMode="External"/><Relationship Id="rId233" Type="http://schemas.openxmlformats.org/officeDocument/2006/relationships/hyperlink" Target="https://fluxnet.org/sites/siteinfo/GL-ZaF" TargetMode="External"/><Relationship Id="rId440" Type="http://schemas.openxmlformats.org/officeDocument/2006/relationships/hyperlink" Target="https://fluxnet.org/sites/siteinfo/US-NC4" TargetMode="External"/><Relationship Id="rId28" Type="http://schemas.openxmlformats.org/officeDocument/2006/relationships/hyperlink" Target="https://fluxnet.org/sites/siteinfo/AU-Gin" TargetMode="External"/><Relationship Id="rId275" Type="http://schemas.openxmlformats.org/officeDocument/2006/relationships/hyperlink" Target="https://fluxnet.org/sites/siteinfo/IT-SR2" TargetMode="External"/><Relationship Id="rId300" Type="http://schemas.openxmlformats.org/officeDocument/2006/relationships/hyperlink" Target="https://fluxnet.org/sites/siteinfo/NL-Loo" TargetMode="External"/><Relationship Id="rId482" Type="http://schemas.openxmlformats.org/officeDocument/2006/relationships/hyperlink" Target="https://fluxnet.org/sites/siteinfo/US-Ton" TargetMode="External"/><Relationship Id="rId81" Type="http://schemas.openxmlformats.org/officeDocument/2006/relationships/hyperlink" Target="https://fluxnet.org/sites/siteinfo/CA-NS5" TargetMode="External"/><Relationship Id="rId135" Type="http://schemas.openxmlformats.org/officeDocument/2006/relationships/hyperlink" Target="https://fluxnet.org/sites/siteinfo/CN-Du2" TargetMode="External"/><Relationship Id="rId177" Type="http://schemas.openxmlformats.org/officeDocument/2006/relationships/hyperlink" Target="https://fluxnet.org/sites/siteinfo/DE-RuS" TargetMode="External"/><Relationship Id="rId342" Type="http://schemas.openxmlformats.org/officeDocument/2006/relationships/hyperlink" Target="https://fluxnet.org/sites/siteinfo/UK-LBT" TargetMode="External"/><Relationship Id="rId384" Type="http://schemas.openxmlformats.org/officeDocument/2006/relationships/hyperlink" Target="https://fluxnet.org/sites/siteinfo/US-EML" TargetMode="External"/><Relationship Id="rId202" Type="http://schemas.openxmlformats.org/officeDocument/2006/relationships/hyperlink" Target="https://fluxnet.org/sites/siteinfo/ES-Ln2" TargetMode="External"/><Relationship Id="rId244" Type="http://schemas.openxmlformats.org/officeDocument/2006/relationships/hyperlink" Target="https://fluxnet.org/sites/siteinfo/IT-CA1" TargetMode="External"/><Relationship Id="rId39" Type="http://schemas.openxmlformats.org/officeDocument/2006/relationships/hyperlink" Target="https://fluxnet.org/sites/siteinfo/AU-Stp" TargetMode="External"/><Relationship Id="rId286" Type="http://schemas.openxmlformats.org/officeDocument/2006/relationships/hyperlink" Target="https://fluxnet.org/sites/siteinfo/JP-Mse" TargetMode="External"/><Relationship Id="rId451" Type="http://schemas.openxmlformats.org/officeDocument/2006/relationships/hyperlink" Target="https://fluxnet.org/sites/siteinfo/US-Ne3" TargetMode="External"/><Relationship Id="rId493" Type="http://schemas.openxmlformats.org/officeDocument/2006/relationships/hyperlink" Target="https://fluxnet.org/sites/siteinfo/US-Twt" TargetMode="External"/><Relationship Id="rId507" Type="http://schemas.openxmlformats.org/officeDocument/2006/relationships/hyperlink" Target="https://fluxnet.org/sites/siteinfo/US-Whs" TargetMode="External"/><Relationship Id="rId50" Type="http://schemas.openxmlformats.org/officeDocument/2006/relationships/hyperlink" Target="https://fluxnet.org/sites/siteinfo/AU-Wom" TargetMode="External"/><Relationship Id="rId104" Type="http://schemas.openxmlformats.org/officeDocument/2006/relationships/hyperlink" Target="https://fluxnet.org/sites/siteinfo/CA-TP1" TargetMode="External"/><Relationship Id="rId146" Type="http://schemas.openxmlformats.org/officeDocument/2006/relationships/hyperlink" Target="https://fluxnet.org/sites/siteinfo/CN-Qia" TargetMode="External"/><Relationship Id="rId188" Type="http://schemas.openxmlformats.org/officeDocument/2006/relationships/hyperlink" Target="https://fluxnet.org/sites/siteinfo/DE-Zrk" TargetMode="External"/><Relationship Id="rId311" Type="http://schemas.openxmlformats.org/officeDocument/2006/relationships/hyperlink" Target="https://fluxnet.org/sites/siteinfo/RU-Che" TargetMode="External"/><Relationship Id="rId353" Type="http://schemas.openxmlformats.org/officeDocument/2006/relationships/hyperlink" Target="https://fluxnet.org/sites/siteinfo/US-ARb" TargetMode="External"/><Relationship Id="rId395" Type="http://schemas.openxmlformats.org/officeDocument/2006/relationships/hyperlink" Target="https://fluxnet.org/sites/siteinfo/US-Ha1" TargetMode="External"/><Relationship Id="rId409" Type="http://schemas.openxmlformats.org/officeDocument/2006/relationships/hyperlink" Target="https://fluxnet.org/sites/siteinfo/US-LA1" TargetMode="External"/><Relationship Id="rId92" Type="http://schemas.openxmlformats.org/officeDocument/2006/relationships/hyperlink" Target="https://fluxnet.org/sites/siteinfo/CA-Qfo" TargetMode="External"/><Relationship Id="rId213" Type="http://schemas.openxmlformats.org/officeDocument/2006/relationships/hyperlink" Target="https://fluxnet.org/sites/siteinfo/FI-Sii" TargetMode="External"/><Relationship Id="rId420" Type="http://schemas.openxmlformats.org/officeDocument/2006/relationships/hyperlink" Target="https://fluxnet.org/sites/siteinfo/US-MAC" TargetMode="External"/><Relationship Id="rId255" Type="http://schemas.openxmlformats.org/officeDocument/2006/relationships/hyperlink" Target="https://fluxnet.org/sites/siteinfo/IT-Cpz" TargetMode="External"/><Relationship Id="rId297" Type="http://schemas.openxmlformats.org/officeDocument/2006/relationships/hyperlink" Target="https://fluxnet.org/sites/siteinfo/NL-Hor" TargetMode="External"/><Relationship Id="rId462" Type="http://schemas.openxmlformats.org/officeDocument/2006/relationships/hyperlink" Target="https://fluxnet.org/sites/siteinfo/US-Prr" TargetMode="External"/><Relationship Id="rId518" Type="http://schemas.openxmlformats.org/officeDocument/2006/relationships/hyperlink" Target="https://fluxnet.org/sites/siteinfo/US-Wi4" TargetMode="External"/><Relationship Id="rId115" Type="http://schemas.openxmlformats.org/officeDocument/2006/relationships/hyperlink" Target="https://fluxnet.org/sites/siteinfo/CH-Cha" TargetMode="External"/><Relationship Id="rId157" Type="http://schemas.openxmlformats.org/officeDocument/2006/relationships/hyperlink" Target="https://fluxnet.org/sites/siteinfo/DE-Dgw" TargetMode="External"/><Relationship Id="rId322" Type="http://schemas.openxmlformats.org/officeDocument/2006/relationships/hyperlink" Target="https://fluxnet.org/sites/siteinfo/RU-Sam" TargetMode="External"/><Relationship Id="rId364" Type="http://schemas.openxmlformats.org/officeDocument/2006/relationships/hyperlink" Target="https://fluxnet.org/sites/siteinfo/US-BZS" TargetMode="External"/><Relationship Id="rId61" Type="http://schemas.openxmlformats.org/officeDocument/2006/relationships/hyperlink" Target="https://fluxnet.org/sites/siteinfo/BR-Sa1" TargetMode="External"/><Relationship Id="rId199" Type="http://schemas.openxmlformats.org/officeDocument/2006/relationships/hyperlink" Target="https://fluxnet.org/sites/siteinfo/ES-LgS" TargetMode="External"/><Relationship Id="rId19" Type="http://schemas.openxmlformats.org/officeDocument/2006/relationships/hyperlink" Target="https://fluxnet.org/sites/siteinfo/AU-Dry" TargetMode="External"/><Relationship Id="rId224" Type="http://schemas.openxmlformats.org/officeDocument/2006/relationships/hyperlink" Target="https://fluxnet.org/sites/siteinfo/FR-LGt" TargetMode="External"/><Relationship Id="rId266" Type="http://schemas.openxmlformats.org/officeDocument/2006/relationships/hyperlink" Target="https://fluxnet.org/sites/siteinfo/IT-Noe" TargetMode="External"/><Relationship Id="rId431" Type="http://schemas.openxmlformats.org/officeDocument/2006/relationships/hyperlink" Target="https://fluxnet.org/sites/siteinfo/US-Me4" TargetMode="External"/><Relationship Id="rId473" Type="http://schemas.openxmlformats.org/officeDocument/2006/relationships/hyperlink" Target="https://fluxnet.org/sites/siteinfo/US-Srr" TargetMode="External"/><Relationship Id="rId529" Type="http://schemas.openxmlformats.org/officeDocument/2006/relationships/hyperlink" Target="https://fluxnet.org/sites/siteinfo/US-Wkg" TargetMode="External"/><Relationship Id="rId30" Type="http://schemas.openxmlformats.org/officeDocument/2006/relationships/hyperlink" Target="https://fluxnet.org/sites/siteinfo/AU-How" TargetMode="External"/><Relationship Id="rId126" Type="http://schemas.openxmlformats.org/officeDocument/2006/relationships/hyperlink" Target="https://fluxnet.org/sites/siteinfo/CH-Oe2" TargetMode="External"/><Relationship Id="rId168" Type="http://schemas.openxmlformats.org/officeDocument/2006/relationships/hyperlink" Target="https://fluxnet.org/sites/siteinfo/DE-Kli" TargetMode="External"/><Relationship Id="rId333" Type="http://schemas.openxmlformats.org/officeDocument/2006/relationships/hyperlink" Target="https://fluxnet.org/sites/siteinfo/SE-St1" TargetMode="External"/><Relationship Id="rId72" Type="http://schemas.openxmlformats.org/officeDocument/2006/relationships/hyperlink" Target="https://fluxnet.org/sites/siteinfo/CA-Man" TargetMode="External"/><Relationship Id="rId375" Type="http://schemas.openxmlformats.org/officeDocument/2006/relationships/hyperlink" Target="https://fluxnet.org/sites/siteinfo/US-CRT" TargetMode="External"/><Relationship Id="rId3" Type="http://schemas.openxmlformats.org/officeDocument/2006/relationships/hyperlink" Target="https://fluxnet.org/sites/siteinfo/AR-Vir" TargetMode="External"/><Relationship Id="rId235" Type="http://schemas.openxmlformats.org/officeDocument/2006/relationships/hyperlink" Target="https://fluxnet.org/sites/siteinfo/GL-ZaH" TargetMode="External"/><Relationship Id="rId277" Type="http://schemas.openxmlformats.org/officeDocument/2006/relationships/hyperlink" Target="https://fluxnet.org/sites/siteinfo/IT-SRo" TargetMode="External"/><Relationship Id="rId400" Type="http://schemas.openxmlformats.org/officeDocument/2006/relationships/hyperlink" Target="https://fluxnet.org/sites/siteinfo/US-IB2" TargetMode="External"/><Relationship Id="rId442" Type="http://schemas.openxmlformats.org/officeDocument/2006/relationships/hyperlink" Target="https://fluxnet.org/sites/siteinfo/US-NGB" TargetMode="External"/><Relationship Id="rId484" Type="http://schemas.openxmlformats.org/officeDocument/2006/relationships/hyperlink" Target="https://fluxnet.org/sites/siteinfo/US-Tw1" TargetMode="External"/><Relationship Id="rId137" Type="http://schemas.openxmlformats.org/officeDocument/2006/relationships/hyperlink" Target="https://fluxnet.org/sites/siteinfo/CN-Du3" TargetMode="External"/><Relationship Id="rId302" Type="http://schemas.openxmlformats.org/officeDocument/2006/relationships/hyperlink" Target="https://fluxnet.org/sites/siteinfo/NZ-Kop" TargetMode="External"/><Relationship Id="rId344" Type="http://schemas.openxmlformats.org/officeDocument/2006/relationships/hyperlink" Target="https://fluxnet.org/sites/siteinfo/US-A03" TargetMode="External"/><Relationship Id="rId41" Type="http://schemas.openxmlformats.org/officeDocument/2006/relationships/hyperlink" Target="https://fluxnet.org/sites/siteinfo/AU-TTE" TargetMode="External"/><Relationship Id="rId83" Type="http://schemas.openxmlformats.org/officeDocument/2006/relationships/hyperlink" Target="https://fluxnet.org/sites/siteinfo/CA-NS6" TargetMode="External"/><Relationship Id="rId179" Type="http://schemas.openxmlformats.org/officeDocument/2006/relationships/hyperlink" Target="https://fluxnet.org/sites/siteinfo/DE-Seh" TargetMode="External"/><Relationship Id="rId386" Type="http://schemas.openxmlformats.org/officeDocument/2006/relationships/hyperlink" Target="https://fluxnet.org/sites/siteinfo/US-GBT" TargetMode="External"/><Relationship Id="rId190" Type="http://schemas.openxmlformats.org/officeDocument/2006/relationships/hyperlink" Target="https://fluxnet.org/sites/siteinfo/DK-Eng" TargetMode="External"/><Relationship Id="rId204" Type="http://schemas.openxmlformats.org/officeDocument/2006/relationships/hyperlink" Target="https://fluxnet.org/sites/siteinfo/FI-Hyy" TargetMode="External"/><Relationship Id="rId246" Type="http://schemas.openxmlformats.org/officeDocument/2006/relationships/hyperlink" Target="https://fluxnet.org/sites/siteinfo/IT-CA2" TargetMode="External"/><Relationship Id="rId288" Type="http://schemas.openxmlformats.org/officeDocument/2006/relationships/hyperlink" Target="https://fluxnet.org/sites/siteinfo/JP-SMF" TargetMode="External"/><Relationship Id="rId411" Type="http://schemas.openxmlformats.org/officeDocument/2006/relationships/hyperlink" Target="https://fluxnet.org/sites/siteinfo/US-LA2" TargetMode="External"/><Relationship Id="rId453" Type="http://schemas.openxmlformats.org/officeDocument/2006/relationships/hyperlink" Target="https://fluxnet.org/sites/siteinfo/US-ORv" TargetMode="External"/><Relationship Id="rId509" Type="http://schemas.openxmlformats.org/officeDocument/2006/relationships/hyperlink" Target="https://fluxnet.org/sites/siteinfo/US-Wi0" TargetMode="External"/><Relationship Id="rId106" Type="http://schemas.openxmlformats.org/officeDocument/2006/relationships/hyperlink" Target="https://fluxnet.org/sites/siteinfo/CA-TP2" TargetMode="External"/><Relationship Id="rId313" Type="http://schemas.openxmlformats.org/officeDocument/2006/relationships/hyperlink" Target="https://fluxnet.org/sites/siteinfo/RU-Cok" TargetMode="External"/><Relationship Id="rId495" Type="http://schemas.openxmlformats.org/officeDocument/2006/relationships/hyperlink" Target="https://fluxnet.org/sites/siteinfo/US-UMB" TargetMode="External"/><Relationship Id="rId10" Type="http://schemas.openxmlformats.org/officeDocument/2006/relationships/hyperlink" Target="https://fluxnet.org/sites/siteinfo/AU-Ade" TargetMode="External"/><Relationship Id="rId52" Type="http://schemas.openxmlformats.org/officeDocument/2006/relationships/hyperlink" Target="https://fluxnet.org/sites/siteinfo/AU-Ync" TargetMode="External"/><Relationship Id="rId94" Type="http://schemas.openxmlformats.org/officeDocument/2006/relationships/hyperlink" Target="https://fluxnet.org/sites/siteinfo/CA-SCB" TargetMode="External"/><Relationship Id="rId148" Type="http://schemas.openxmlformats.org/officeDocument/2006/relationships/hyperlink" Target="https://fluxnet.org/sites/siteinfo/CN-Sw2" TargetMode="External"/><Relationship Id="rId355" Type="http://schemas.openxmlformats.org/officeDocument/2006/relationships/hyperlink" Target="https://fluxnet.org/sites/siteinfo/US-ARc" TargetMode="External"/><Relationship Id="rId397" Type="http://schemas.openxmlformats.org/officeDocument/2006/relationships/hyperlink" Target="https://fluxnet.org/sites/siteinfo/US-Ho1" TargetMode="External"/><Relationship Id="rId520" Type="http://schemas.openxmlformats.org/officeDocument/2006/relationships/hyperlink" Target="https://fluxnet.org/sites/siteinfo/US-Wi5" TargetMode="External"/><Relationship Id="rId215" Type="http://schemas.openxmlformats.org/officeDocument/2006/relationships/hyperlink" Target="https://fluxnet.org/sites/siteinfo/FI-Sod" TargetMode="External"/><Relationship Id="rId257" Type="http://schemas.openxmlformats.org/officeDocument/2006/relationships/hyperlink" Target="https://fluxnet.org/sites/siteinfo/IT-Isp" TargetMode="External"/><Relationship Id="rId422" Type="http://schemas.openxmlformats.org/officeDocument/2006/relationships/hyperlink" Target="https://fluxnet.org/sites/siteinfo/US-MMS" TargetMode="External"/><Relationship Id="rId464" Type="http://schemas.openxmlformats.org/officeDocument/2006/relationships/hyperlink" Target="https://fluxnet.org/sites/siteinfo/US-SRC" TargetMode="External"/><Relationship Id="rId299" Type="http://schemas.openxmlformats.org/officeDocument/2006/relationships/hyperlink" Target="https://fluxnet.org/sites/siteinfo/NL-Loo" TargetMode="External"/><Relationship Id="rId63" Type="http://schemas.openxmlformats.org/officeDocument/2006/relationships/hyperlink" Target="https://fluxnet.org/sites/siteinfo/BR-Sa3" TargetMode="External"/><Relationship Id="rId159" Type="http://schemas.openxmlformats.org/officeDocument/2006/relationships/hyperlink" Target="https://fluxnet.org/sites/siteinfo/DE-Geb" TargetMode="External"/><Relationship Id="rId366" Type="http://schemas.openxmlformats.org/officeDocument/2006/relationships/hyperlink" Target="https://fluxnet.org/sites/siteinfo/US-Beo" TargetMode="External"/><Relationship Id="rId226" Type="http://schemas.openxmlformats.org/officeDocument/2006/relationships/hyperlink" Target="https://fluxnet.org/sites/siteinfo/FR-Pue" TargetMode="External"/><Relationship Id="rId433" Type="http://schemas.openxmlformats.org/officeDocument/2006/relationships/hyperlink" Target="https://fluxnet.org/sites/siteinfo/US-Me5" TargetMode="External"/><Relationship Id="rId74" Type="http://schemas.openxmlformats.org/officeDocument/2006/relationships/hyperlink" Target="https://fluxnet.org/sites/siteinfo/CA-NS1" TargetMode="External"/><Relationship Id="rId377" Type="http://schemas.openxmlformats.org/officeDocument/2006/relationships/hyperlink" Target="https://fluxnet.org/sites/siteinfo/US-Cop" TargetMode="External"/><Relationship Id="rId500" Type="http://schemas.openxmlformats.org/officeDocument/2006/relationships/hyperlink" Target="https://fluxnet.org/sites/siteinfo/US-Uaf" TargetMode="External"/><Relationship Id="rId5" Type="http://schemas.openxmlformats.org/officeDocument/2006/relationships/hyperlink" Target="https://fluxnet.org/sites/siteinfo/AT-Neu" TargetMode="External"/><Relationship Id="rId237" Type="http://schemas.openxmlformats.org/officeDocument/2006/relationships/hyperlink" Target="https://fluxnet.org/sites/siteinfo/HK-M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8A5B-87D7-4C45-B3F0-8DB198172679}">
  <dimension ref="A1:L226"/>
  <sheetViews>
    <sheetView tabSelected="1" topLeftCell="A216" workbookViewId="0">
      <selection activeCell="I226" sqref="I226"/>
    </sheetView>
  </sheetViews>
  <sheetFormatPr defaultRowHeight="15" x14ac:dyDescent="0.25"/>
  <cols>
    <col min="3" max="3" width="9.7109375" bestFit="1" customWidth="1"/>
    <col min="5" max="6" width="10.5703125" bestFit="1" customWidth="1"/>
    <col min="7" max="7" width="9.5703125" bestFit="1" customWidth="1"/>
    <col min="8" max="8" width="12.140625" bestFit="1" customWidth="1"/>
    <col min="9" max="9" width="15.7109375" bestFit="1" customWidth="1"/>
    <col min="10" max="10" width="15.7109375" customWidth="1"/>
    <col min="11" max="11" width="29.8554687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2" t="s">
        <v>311</v>
      </c>
      <c r="F1" s="2" t="s">
        <v>312</v>
      </c>
      <c r="G1" s="2" t="s">
        <v>3157</v>
      </c>
      <c r="H1" s="2" t="s">
        <v>3159</v>
      </c>
      <c r="I1" s="2" t="s">
        <v>3160</v>
      </c>
      <c r="J1" s="2" t="s">
        <v>3811</v>
      </c>
      <c r="K1" s="2" t="s">
        <v>3779</v>
      </c>
      <c r="L1" s="2" t="s">
        <v>3780</v>
      </c>
    </row>
    <row r="2" spans="1:12" x14ac:dyDescent="0.25">
      <c r="A2" s="1">
        <v>0</v>
      </c>
      <c r="B2" t="s">
        <v>3</v>
      </c>
      <c r="C2" t="s">
        <v>227</v>
      </c>
      <c r="D2" s="5" t="s">
        <v>307</v>
      </c>
      <c r="E2">
        <v>-66.733500000000006</v>
      </c>
      <c r="F2">
        <v>-54.973300000000002</v>
      </c>
      <c r="G2" t="str">
        <f>VLOOKUP(B2,AMF!$A$2:$G$691,7,FALSE)</f>
        <v>WET</v>
      </c>
      <c r="H2">
        <f>VLOOKUP(B2,AMF!$A$2:$I$691,9,FALSE)</f>
        <v>0</v>
      </c>
      <c r="I2" t="s">
        <v>680</v>
      </c>
      <c r="J2" t="str">
        <f>LEFT(I2,1)</f>
        <v>E</v>
      </c>
    </row>
    <row r="3" spans="1:12" x14ac:dyDescent="0.25">
      <c r="A3" s="1">
        <v>1</v>
      </c>
      <c r="B3" t="s">
        <v>4</v>
      </c>
      <c r="C3" t="s">
        <v>228</v>
      </c>
      <c r="D3" s="5" t="s">
        <v>307</v>
      </c>
      <c r="E3">
        <v>-79.933300000000003</v>
      </c>
      <c r="F3">
        <v>44.316699999999997</v>
      </c>
      <c r="G3" t="str">
        <f>VLOOKUP(B3,AMF!$A$2:$G$691,7,FALSE)</f>
        <v>DBF</v>
      </c>
      <c r="H3" t="str">
        <f>VLOOKUP(B3,AMF!$A$2:$I$691,9,FALSE)</f>
        <v>Dfb</v>
      </c>
      <c r="I3" t="s">
        <v>481</v>
      </c>
      <c r="J3" t="str">
        <f t="shared" ref="J3:J66" si="0">LEFT(I3,1)</f>
        <v>D</v>
      </c>
    </row>
    <row r="4" spans="1:12" x14ac:dyDescent="0.25">
      <c r="A4" s="1">
        <v>2</v>
      </c>
      <c r="B4" t="s">
        <v>5</v>
      </c>
      <c r="C4" t="s">
        <v>229</v>
      </c>
      <c r="D4" s="5" t="s">
        <v>307</v>
      </c>
      <c r="E4">
        <v>-122.99509999999999</v>
      </c>
      <c r="F4">
        <v>49.119</v>
      </c>
      <c r="G4" t="str">
        <f>VLOOKUP(B4,AMF!$A$2:$G$691,7,FALSE)</f>
        <v>WET</v>
      </c>
      <c r="H4">
        <f>VLOOKUP(B4,AMF!$A$2:$I$691,9,FALSE)</f>
        <v>0</v>
      </c>
      <c r="I4" t="s">
        <v>573</v>
      </c>
      <c r="J4" t="str">
        <f t="shared" si="0"/>
        <v>C</v>
      </c>
    </row>
    <row r="5" spans="1:12" x14ac:dyDescent="0.25">
      <c r="A5" s="1">
        <v>3</v>
      </c>
      <c r="B5" t="s">
        <v>6</v>
      </c>
      <c r="C5" t="s">
        <v>230</v>
      </c>
      <c r="D5" s="5" t="s">
        <v>307</v>
      </c>
      <c r="E5">
        <v>-122.9849</v>
      </c>
      <c r="F5">
        <v>49.129300000000001</v>
      </c>
      <c r="G5" t="str">
        <f>VLOOKUP(B5,AMF!$A$2:$G$691,7,FALSE)</f>
        <v>WET</v>
      </c>
      <c r="H5" t="str">
        <f>VLOOKUP(B5,AMF!$A$2:$I$691,9,FALSE)</f>
        <v>Csb</v>
      </c>
      <c r="I5" t="s">
        <v>573</v>
      </c>
      <c r="J5" t="str">
        <f t="shared" si="0"/>
        <v>C</v>
      </c>
    </row>
    <row r="6" spans="1:12" x14ac:dyDescent="0.25">
      <c r="A6" s="1">
        <v>4</v>
      </c>
      <c r="B6" t="s">
        <v>7</v>
      </c>
      <c r="C6" t="s">
        <v>231</v>
      </c>
      <c r="D6" s="5" t="s">
        <v>307</v>
      </c>
      <c r="E6">
        <v>-80.412300000000002</v>
      </c>
      <c r="F6">
        <v>43.640500000000003</v>
      </c>
      <c r="G6" t="str">
        <f>VLOOKUP(B6,AMF!$A$2:$G$691,7,FALSE)</f>
        <v>CRO</v>
      </c>
      <c r="H6" t="str">
        <f>VLOOKUP(B6,AMF!$A$2:$I$691,9,FALSE)</f>
        <v>Dfb</v>
      </c>
      <c r="I6" t="s">
        <v>481</v>
      </c>
      <c r="J6" t="str">
        <f t="shared" si="0"/>
        <v>D</v>
      </c>
      <c r="K6" t="s">
        <v>3781</v>
      </c>
    </row>
    <row r="7" spans="1:12" x14ac:dyDescent="0.25">
      <c r="A7" s="1">
        <v>5</v>
      </c>
      <c r="B7" t="s">
        <v>8</v>
      </c>
      <c r="C7" t="s">
        <v>232</v>
      </c>
      <c r="D7" s="5" t="s">
        <v>307</v>
      </c>
      <c r="E7">
        <v>-122.84139999999999</v>
      </c>
      <c r="F7">
        <v>55.111899999999999</v>
      </c>
      <c r="G7" t="str">
        <f>VLOOKUP(B7,AMF!$A$2:$G$691,7,FALSE)</f>
        <v>ENF</v>
      </c>
      <c r="H7" t="str">
        <f>VLOOKUP(B7,AMF!$A$2:$I$691,9,FALSE)</f>
        <v>Csa</v>
      </c>
      <c r="I7" t="s">
        <v>481</v>
      </c>
      <c r="J7" t="str">
        <f t="shared" si="0"/>
        <v>D</v>
      </c>
    </row>
    <row r="8" spans="1:12" x14ac:dyDescent="0.25">
      <c r="A8" s="1">
        <v>6</v>
      </c>
      <c r="B8" t="s">
        <v>9</v>
      </c>
      <c r="C8" t="s">
        <v>233</v>
      </c>
      <c r="D8" s="5" t="s">
        <v>307</v>
      </c>
      <c r="E8">
        <v>-73.319000000000003</v>
      </c>
      <c r="F8">
        <v>-3.8344</v>
      </c>
      <c r="G8" t="str">
        <f>VLOOKUP(B8,AMF!$A$2:$G$691,7,FALSE)</f>
        <v>WET</v>
      </c>
      <c r="H8" t="str">
        <f>VLOOKUP(B8,AMF!$A$2:$I$691,9,FALSE)</f>
        <v>Af</v>
      </c>
      <c r="I8" t="s">
        <v>403</v>
      </c>
      <c r="J8" t="str">
        <f t="shared" si="0"/>
        <v>A</v>
      </c>
    </row>
    <row r="9" spans="1:12" x14ac:dyDescent="0.25">
      <c r="A9" s="1">
        <v>7</v>
      </c>
      <c r="B9" t="s">
        <v>10</v>
      </c>
      <c r="C9" t="s">
        <v>234</v>
      </c>
      <c r="D9" s="5" t="s">
        <v>307</v>
      </c>
      <c r="E9">
        <v>-89.606700000000004</v>
      </c>
      <c r="F9">
        <v>46.030799999999999</v>
      </c>
      <c r="G9" t="str">
        <f>VLOOKUP(B9,AMF!$A$2:$G$691,7,FALSE)</f>
        <v>WET</v>
      </c>
      <c r="H9" t="str">
        <f>VLOOKUP(B9,AMF!$A$2:$I$691,9,FALSE)</f>
        <v>Dfb</v>
      </c>
      <c r="I9" t="s">
        <v>481</v>
      </c>
      <c r="J9" t="str">
        <f t="shared" si="0"/>
        <v>D</v>
      </c>
    </row>
    <row r="10" spans="1:12" x14ac:dyDescent="0.25">
      <c r="A10" s="1">
        <v>8</v>
      </c>
      <c r="B10" t="s">
        <v>11</v>
      </c>
      <c r="C10" t="s">
        <v>235</v>
      </c>
      <c r="D10" s="5" t="s">
        <v>307</v>
      </c>
      <c r="E10">
        <v>-97.488799999999998</v>
      </c>
      <c r="F10">
        <v>36.605800000000002</v>
      </c>
      <c r="G10" t="str">
        <f>VLOOKUP(B10,AMF!$A$2:$G$691,7,FALSE)</f>
        <v>CRO</v>
      </c>
      <c r="H10" t="str">
        <f>VLOOKUP(B10,AMF!$A$2:$I$691,9,FALSE)</f>
        <v>Cfa</v>
      </c>
      <c r="I10" t="s">
        <v>360</v>
      </c>
      <c r="J10" t="str">
        <f t="shared" si="0"/>
        <v>C</v>
      </c>
      <c r="K10" t="s">
        <v>3782</v>
      </c>
    </row>
    <row r="11" spans="1:12" x14ac:dyDescent="0.25">
      <c r="A11" s="1">
        <v>9</v>
      </c>
      <c r="B11" t="s">
        <v>12</v>
      </c>
      <c r="C11" t="s">
        <v>236</v>
      </c>
      <c r="D11" s="5" t="s">
        <v>307</v>
      </c>
      <c r="E11">
        <v>-71.2881</v>
      </c>
      <c r="F11">
        <v>44.064599999999999</v>
      </c>
      <c r="G11" t="str">
        <f>VLOOKUP(B11,AMF!$A$2:$G$691,7,FALSE)</f>
        <v>DBF</v>
      </c>
      <c r="H11" t="str">
        <f>VLOOKUP(B11,AMF!$A$2:$I$691,9,FALSE)</f>
        <v>Dfb</v>
      </c>
      <c r="I11" t="s">
        <v>481</v>
      </c>
      <c r="J11" t="str">
        <f t="shared" si="0"/>
        <v>D</v>
      </c>
    </row>
    <row r="12" spans="1:12" x14ac:dyDescent="0.25">
      <c r="A12" s="1">
        <v>10</v>
      </c>
      <c r="B12" t="s">
        <v>13</v>
      </c>
      <c r="C12" t="s">
        <v>237</v>
      </c>
      <c r="D12" s="5" t="s">
        <v>307</v>
      </c>
      <c r="E12">
        <v>-121.49930000000001</v>
      </c>
      <c r="F12">
        <v>38.099200000000003</v>
      </c>
      <c r="G12" t="str">
        <f>VLOOKUP(B12,AMF!$A$2:$G$691,7,FALSE)</f>
        <v>CRO</v>
      </c>
      <c r="H12" t="str">
        <f>VLOOKUP(B12,AMF!$A$2:$I$691,9,FALSE)</f>
        <v>Csa</v>
      </c>
      <c r="I12" t="s">
        <v>632</v>
      </c>
      <c r="J12" t="str">
        <f t="shared" si="0"/>
        <v>C</v>
      </c>
      <c r="K12" t="s">
        <v>3783</v>
      </c>
    </row>
    <row r="13" spans="1:12" x14ac:dyDescent="0.25">
      <c r="A13" s="1">
        <v>11</v>
      </c>
      <c r="B13" t="s">
        <v>14</v>
      </c>
      <c r="C13" t="s">
        <v>238</v>
      </c>
      <c r="D13" s="5" t="s">
        <v>307</v>
      </c>
      <c r="E13">
        <v>-121.5351</v>
      </c>
      <c r="F13">
        <v>38.109099999999998</v>
      </c>
      <c r="G13" t="str">
        <f>VLOOKUP(B13,AMF!$A$2:$G$691,7,FALSE)</f>
        <v>CRO</v>
      </c>
      <c r="H13" t="str">
        <f>VLOOKUP(B13,AMF!$A$2:$I$691,9,FALSE)</f>
        <v>Csa</v>
      </c>
      <c r="I13" t="s">
        <v>632</v>
      </c>
      <c r="J13" t="str">
        <f t="shared" si="0"/>
        <v>C</v>
      </c>
      <c r="K13" t="s">
        <v>3781</v>
      </c>
    </row>
    <row r="14" spans="1:12" x14ac:dyDescent="0.25">
      <c r="A14" s="1">
        <v>12</v>
      </c>
      <c r="B14" t="s">
        <v>15</v>
      </c>
      <c r="C14" t="s">
        <v>239</v>
      </c>
      <c r="D14" s="5" t="s">
        <v>307</v>
      </c>
      <c r="E14">
        <v>-86.540599999999998</v>
      </c>
      <c r="F14">
        <v>39.216700000000003</v>
      </c>
      <c r="G14" t="str">
        <f>VLOOKUP(B14,AMF!$A$2:$G$691,7,FALSE)</f>
        <v>GRA</v>
      </c>
      <c r="H14" t="str">
        <f>VLOOKUP(B14,AMF!$A$2:$I$691,9,FALSE)</f>
        <v>Cfa</v>
      </c>
      <c r="I14" t="s">
        <v>1175</v>
      </c>
      <c r="J14" t="str">
        <f t="shared" si="0"/>
        <v>D</v>
      </c>
    </row>
    <row r="15" spans="1:12" x14ac:dyDescent="0.25">
      <c r="A15" s="1">
        <v>13</v>
      </c>
      <c r="B15" t="s">
        <v>16</v>
      </c>
      <c r="C15" t="s">
        <v>240</v>
      </c>
      <c r="D15" s="5" t="s">
        <v>307</v>
      </c>
      <c r="E15">
        <v>-148.32079999999999</v>
      </c>
      <c r="F15">
        <v>64.695499999999996</v>
      </c>
      <c r="G15" t="str">
        <f>VLOOKUP(B15,AMF!$A$2:$G$691,7,FALSE)</f>
        <v>WET</v>
      </c>
      <c r="H15" t="str">
        <f>VLOOKUP(B15,AMF!$A$2:$I$691,9,FALSE)</f>
        <v>Dfd</v>
      </c>
      <c r="I15" t="s">
        <v>481</v>
      </c>
      <c r="J15" t="str">
        <f t="shared" si="0"/>
        <v>D</v>
      </c>
    </row>
    <row r="16" spans="1:12" x14ac:dyDescent="0.25">
      <c r="A16" s="1">
        <v>14</v>
      </c>
      <c r="B16" t="s">
        <v>17</v>
      </c>
      <c r="C16" t="s">
        <v>240</v>
      </c>
      <c r="D16" s="5" t="s">
        <v>307</v>
      </c>
      <c r="E16">
        <v>-148.31209999999999</v>
      </c>
      <c r="F16">
        <v>64.701300000000003</v>
      </c>
      <c r="G16" t="str">
        <f>VLOOKUP(B16,AMF!$A$2:$G$691,7,FALSE)</f>
        <v>WET</v>
      </c>
      <c r="H16" t="str">
        <f>VLOOKUP(B16,AMF!$A$2:$I$691,9,FALSE)</f>
        <v>Dfd</v>
      </c>
      <c r="I16" t="s">
        <v>481</v>
      </c>
      <c r="J16" t="str">
        <f t="shared" si="0"/>
        <v>D</v>
      </c>
    </row>
    <row r="17" spans="1:12" x14ac:dyDescent="0.25">
      <c r="A17" s="1">
        <v>15</v>
      </c>
      <c r="B17" t="s">
        <v>18</v>
      </c>
      <c r="C17" t="s">
        <v>241</v>
      </c>
      <c r="D17" s="5" t="s">
        <v>307</v>
      </c>
      <c r="E17">
        <v>-148.33000000000001</v>
      </c>
      <c r="F17">
        <v>64.693600000000004</v>
      </c>
      <c r="G17" t="str">
        <f>VLOOKUP(B17,AMF!$A$2:$G$691,7,FALSE)</f>
        <v>WET</v>
      </c>
      <c r="H17" t="str">
        <f>VLOOKUP(B17,AMF!$A$2:$I$691,9,FALSE)</f>
        <v>Dfd</v>
      </c>
      <c r="I17" t="s">
        <v>481</v>
      </c>
      <c r="J17" t="str">
        <f t="shared" si="0"/>
        <v>D</v>
      </c>
    </row>
    <row r="18" spans="1:12" x14ac:dyDescent="0.25">
      <c r="A18" s="1">
        <v>16</v>
      </c>
      <c r="B18" t="s">
        <v>19</v>
      </c>
      <c r="C18" t="s">
        <v>242</v>
      </c>
      <c r="D18" s="5" t="s">
        <v>307</v>
      </c>
      <c r="E18">
        <v>-148.3235</v>
      </c>
      <c r="F18">
        <v>64.696299999999994</v>
      </c>
      <c r="G18" t="str">
        <f>VLOOKUP(B18,AMF!$A$2:$G$691,7,FALSE)</f>
        <v>ENF</v>
      </c>
      <c r="H18" t="str">
        <f>VLOOKUP(B18,AMF!$A$2:$I$691,9,FALSE)</f>
        <v>Dfd</v>
      </c>
      <c r="I18" t="s">
        <v>481</v>
      </c>
      <c r="J18" t="str">
        <f t="shared" si="0"/>
        <v>D</v>
      </c>
    </row>
    <row r="19" spans="1:12" x14ac:dyDescent="0.25">
      <c r="A19" s="1">
        <v>17</v>
      </c>
      <c r="B19" t="s">
        <v>20</v>
      </c>
      <c r="C19" t="s">
        <v>243</v>
      </c>
      <c r="D19" s="5" t="s">
        <v>307</v>
      </c>
      <c r="E19">
        <v>-117.0821</v>
      </c>
      <c r="F19">
        <v>46.781500000000001</v>
      </c>
      <c r="G19" t="str">
        <f>VLOOKUP(B19,AMF!$A$2:$G$691,7,FALSE)</f>
        <v>CRO</v>
      </c>
      <c r="H19" t="str">
        <f>VLOOKUP(B19,AMF!$A$2:$I$691,9,FALSE)</f>
        <v>Dsb</v>
      </c>
      <c r="I19" t="s">
        <v>1302</v>
      </c>
      <c r="J19" t="str">
        <f t="shared" si="0"/>
        <v>D</v>
      </c>
      <c r="K19" t="s">
        <v>3786</v>
      </c>
      <c r="L19" t="s">
        <v>3787</v>
      </c>
    </row>
    <row r="20" spans="1:12" x14ac:dyDescent="0.25">
      <c r="A20" s="1">
        <v>18</v>
      </c>
      <c r="B20" t="s">
        <v>21</v>
      </c>
      <c r="C20" t="s">
        <v>243</v>
      </c>
      <c r="D20" s="5" t="s">
        <v>307</v>
      </c>
      <c r="E20">
        <v>-117.0908</v>
      </c>
      <c r="F20">
        <v>46.783999999999999</v>
      </c>
      <c r="G20" t="str">
        <f>VLOOKUP(B20,AMF!$A$2:$G$691,7,FALSE)</f>
        <v>CRO</v>
      </c>
      <c r="H20" t="str">
        <f>VLOOKUP(B20,AMF!$A$2:$I$691,9,FALSE)</f>
        <v>Dsb</v>
      </c>
      <c r="I20" t="s">
        <v>1302</v>
      </c>
      <c r="J20" t="str">
        <f t="shared" si="0"/>
        <v>D</v>
      </c>
      <c r="K20" t="s">
        <v>3786</v>
      </c>
      <c r="L20" t="s">
        <v>3787</v>
      </c>
    </row>
    <row r="21" spans="1:12" x14ac:dyDescent="0.25">
      <c r="A21" s="1">
        <v>19</v>
      </c>
      <c r="B21" t="s">
        <v>22</v>
      </c>
      <c r="C21" t="s">
        <v>238</v>
      </c>
      <c r="D21" s="5" t="s">
        <v>307</v>
      </c>
      <c r="E21">
        <v>-117.12609999999999</v>
      </c>
      <c r="F21">
        <v>46.755099999999999</v>
      </c>
      <c r="G21" t="str">
        <f>VLOOKUP(B21,AMF!$A$2:$G$691,7,FALSE)</f>
        <v>CRO</v>
      </c>
      <c r="H21" t="str">
        <f>VLOOKUP(B21,AMF!$A$2:$I$691,9,FALSE)</f>
        <v>Dsb</v>
      </c>
      <c r="I21" t="s">
        <v>1302</v>
      </c>
      <c r="J21" t="str">
        <f t="shared" si="0"/>
        <v>D</v>
      </c>
      <c r="K21" t="s">
        <v>3786</v>
      </c>
      <c r="L21" t="s">
        <v>3787</v>
      </c>
    </row>
    <row r="22" spans="1:12" x14ac:dyDescent="0.25">
      <c r="A22" s="1">
        <v>20</v>
      </c>
      <c r="B22" t="s">
        <v>23</v>
      </c>
      <c r="C22" t="s">
        <v>238</v>
      </c>
      <c r="D22" s="5" t="s">
        <v>307</v>
      </c>
      <c r="E22">
        <v>-117.1285</v>
      </c>
      <c r="F22">
        <v>46.751800000000003</v>
      </c>
      <c r="G22" t="str">
        <f>VLOOKUP(B22,AMF!$A$2:$G$691,7,FALSE)</f>
        <v>CRO</v>
      </c>
      <c r="H22" t="str">
        <f>VLOOKUP(B22,AMF!$A$2:$I$691,9,FALSE)</f>
        <v>Dsb</v>
      </c>
      <c r="I22" t="s">
        <v>1302</v>
      </c>
      <c r="J22" t="str">
        <f t="shared" si="0"/>
        <v>D</v>
      </c>
      <c r="K22" t="s">
        <v>3786</v>
      </c>
      <c r="L22" t="s">
        <v>3787</v>
      </c>
    </row>
    <row r="23" spans="1:12" x14ac:dyDescent="0.25">
      <c r="A23" s="1">
        <v>21</v>
      </c>
      <c r="B23" t="s">
        <v>24</v>
      </c>
      <c r="C23" t="s">
        <v>233</v>
      </c>
      <c r="D23" s="5" t="s">
        <v>307</v>
      </c>
      <c r="E23">
        <v>-89.537899999999993</v>
      </c>
      <c r="F23">
        <v>44.103099999999998</v>
      </c>
      <c r="G23" t="str">
        <f>VLOOKUP(B23,AMF!$A$2:$G$691,7,FALSE)</f>
        <v>CRO</v>
      </c>
      <c r="H23" t="str">
        <f>VLOOKUP(B23,AMF!$A$2:$I$691,9,FALSE)</f>
        <v>Dfa</v>
      </c>
      <c r="I23" t="s">
        <v>481</v>
      </c>
      <c r="J23" t="str">
        <f t="shared" si="0"/>
        <v>D</v>
      </c>
      <c r="K23" t="s">
        <v>3792</v>
      </c>
      <c r="L23" t="s">
        <v>3789</v>
      </c>
    </row>
    <row r="24" spans="1:12" x14ac:dyDescent="0.25">
      <c r="A24" s="1">
        <v>22</v>
      </c>
      <c r="B24" t="s">
        <v>25</v>
      </c>
      <c r="C24" t="s">
        <v>241</v>
      </c>
      <c r="D24" s="5" t="s">
        <v>307</v>
      </c>
      <c r="E24">
        <v>-89.500200000000007</v>
      </c>
      <c r="F24">
        <v>44.146700000000003</v>
      </c>
      <c r="G24" t="str">
        <f>VLOOKUP(B24,AMF!$A$2:$G$691,7,FALSE)</f>
        <v>ENF</v>
      </c>
      <c r="H24" t="str">
        <f>VLOOKUP(B24,AMF!$A$2:$I$691,9,FALSE)</f>
        <v>Dfa</v>
      </c>
      <c r="I24" t="s">
        <v>481</v>
      </c>
      <c r="J24" t="str">
        <f t="shared" si="0"/>
        <v>D</v>
      </c>
    </row>
    <row r="25" spans="1:12" x14ac:dyDescent="0.25">
      <c r="A25" s="1">
        <v>23</v>
      </c>
      <c r="B25" t="s">
        <v>26</v>
      </c>
      <c r="C25" t="s">
        <v>229</v>
      </c>
      <c r="D25" s="5" t="s">
        <v>307</v>
      </c>
      <c r="E25">
        <v>-89.572699999999998</v>
      </c>
      <c r="F25">
        <v>44.139400000000002</v>
      </c>
      <c r="G25" t="str">
        <f>VLOOKUP(B25,AMF!$A$2:$G$691,7,FALSE)</f>
        <v>CRO</v>
      </c>
      <c r="H25" t="str">
        <f>VLOOKUP(B25,AMF!$A$2:$I$691,9,FALSE)</f>
        <v>Dfa</v>
      </c>
      <c r="I25" t="s">
        <v>481</v>
      </c>
      <c r="J25" t="str">
        <f t="shared" si="0"/>
        <v>D</v>
      </c>
      <c r="K25" t="s">
        <v>3792</v>
      </c>
      <c r="L25" t="s">
        <v>3789</v>
      </c>
    </row>
    <row r="26" spans="1:12" x14ac:dyDescent="0.25">
      <c r="A26" s="1">
        <v>24</v>
      </c>
      <c r="B26" t="s">
        <v>27</v>
      </c>
      <c r="C26" t="s">
        <v>244</v>
      </c>
      <c r="D26" s="5" t="s">
        <v>307</v>
      </c>
      <c r="E26">
        <v>-89.547499999999999</v>
      </c>
      <c r="F26">
        <v>44.159700000000001</v>
      </c>
      <c r="G26" t="str">
        <f>VLOOKUP(B26,AMF!$A$2:$G$691,7,FALSE)</f>
        <v>CRO</v>
      </c>
      <c r="H26" t="str">
        <f>VLOOKUP(B26,AMF!$A$2:$I$691,9,FALSE)</f>
        <v>Dfa</v>
      </c>
      <c r="I26" t="s">
        <v>481</v>
      </c>
      <c r="J26" t="str">
        <f t="shared" si="0"/>
        <v>D</v>
      </c>
      <c r="K26" t="s">
        <v>3792</v>
      </c>
      <c r="L26" t="s">
        <v>3789</v>
      </c>
    </row>
    <row r="27" spans="1:12" x14ac:dyDescent="0.25">
      <c r="A27" s="1">
        <v>25</v>
      </c>
      <c r="B27" t="s">
        <v>28</v>
      </c>
      <c r="C27" t="s">
        <v>241</v>
      </c>
      <c r="D27" s="5" t="s">
        <v>307</v>
      </c>
      <c r="E27">
        <v>-89.711699999999993</v>
      </c>
      <c r="F27">
        <v>43.344799999999999</v>
      </c>
      <c r="G27" t="str">
        <f>VLOOKUP(B27,AMF!$A$2:$G$691,7,FALSE)</f>
        <v>CRO</v>
      </c>
      <c r="H27" t="str">
        <f>VLOOKUP(B27,AMF!$A$2:$I$691,9,FALSE)</f>
        <v>Dfb</v>
      </c>
      <c r="I27" t="s">
        <v>1175</v>
      </c>
      <c r="J27" t="str">
        <f t="shared" si="0"/>
        <v>D</v>
      </c>
      <c r="K27" t="s">
        <v>3793</v>
      </c>
    </row>
    <row r="28" spans="1:12" x14ac:dyDescent="0.25">
      <c r="A28" s="1">
        <v>26</v>
      </c>
      <c r="B28" t="s">
        <v>29</v>
      </c>
      <c r="C28" t="s">
        <v>245</v>
      </c>
      <c r="D28" s="5" t="s">
        <v>307</v>
      </c>
      <c r="E28">
        <v>-121.54900000000001</v>
      </c>
      <c r="F28">
        <v>38.1235</v>
      </c>
      <c r="G28" t="str">
        <f>VLOOKUP(B28,AMF!$A$2:$G$691,7,FALSE)</f>
        <v>CRO</v>
      </c>
      <c r="H28" t="str">
        <f>VLOOKUP(B28,AMF!$A$2:$I$691,9,FALSE)</f>
        <v>Csa</v>
      </c>
      <c r="I28" t="s">
        <v>632</v>
      </c>
      <c r="J28" t="str">
        <f t="shared" si="0"/>
        <v>C</v>
      </c>
      <c r="K28" t="s">
        <v>3794</v>
      </c>
    </row>
    <row r="29" spans="1:12" x14ac:dyDescent="0.25">
      <c r="A29" s="1">
        <v>27</v>
      </c>
      <c r="B29" t="s">
        <v>30</v>
      </c>
      <c r="C29" t="s">
        <v>233</v>
      </c>
      <c r="D29" s="5" t="s">
        <v>307</v>
      </c>
      <c r="E29">
        <v>-122.114</v>
      </c>
      <c r="F29">
        <v>37.615600000000001</v>
      </c>
      <c r="G29" t="str">
        <f>VLOOKUP(B29,AMF!$A$2:$G$691,7,FALSE)</f>
        <v>WET</v>
      </c>
      <c r="H29" t="str">
        <f>VLOOKUP(B29,AMF!$A$2:$I$691,9,FALSE)</f>
        <v>Csa</v>
      </c>
      <c r="I29" t="s">
        <v>573</v>
      </c>
      <c r="J29" t="str">
        <f t="shared" si="0"/>
        <v>C</v>
      </c>
    </row>
    <row r="30" spans="1:12" x14ac:dyDescent="0.25">
      <c r="A30" s="1">
        <v>28</v>
      </c>
      <c r="B30" t="s">
        <v>31</v>
      </c>
      <c r="C30" t="s">
        <v>246</v>
      </c>
      <c r="D30" s="5" t="s">
        <v>307</v>
      </c>
      <c r="E30">
        <v>-149.25360000000001</v>
      </c>
      <c r="F30">
        <v>63.878399999999999</v>
      </c>
      <c r="G30" t="str">
        <f>VLOOKUP(B30,AMF!$A$2:$G$691,7,FALSE)</f>
        <v>OSH</v>
      </c>
      <c r="H30" t="str">
        <f>VLOOKUP(B30,AMF!$A$2:$I$691,9,FALSE)</f>
        <v>ET</v>
      </c>
      <c r="I30" t="s">
        <v>539</v>
      </c>
      <c r="J30" t="str">
        <f t="shared" si="0"/>
        <v>D</v>
      </c>
    </row>
    <row r="31" spans="1:12" x14ac:dyDescent="0.25">
      <c r="A31" s="1">
        <v>29</v>
      </c>
      <c r="B31" t="s">
        <v>32</v>
      </c>
      <c r="C31" t="s">
        <v>247</v>
      </c>
      <c r="D31" s="5" t="s">
        <v>307</v>
      </c>
      <c r="E31">
        <v>-106.23990000000001</v>
      </c>
      <c r="F31">
        <v>41.366500000000002</v>
      </c>
      <c r="G31" t="str">
        <f>VLOOKUP(B31,AMF!$A$2:$G$691,7,FALSE)</f>
        <v>ENF</v>
      </c>
      <c r="H31" t="str">
        <f>VLOOKUP(B31,AMF!$A$2:$I$691,9,FALSE)</f>
        <v>Dfc</v>
      </c>
      <c r="I31" t="s">
        <v>539</v>
      </c>
      <c r="J31" t="str">
        <f t="shared" si="0"/>
        <v>D</v>
      </c>
    </row>
    <row r="32" spans="1:12" x14ac:dyDescent="0.25">
      <c r="A32" s="1">
        <v>30</v>
      </c>
      <c r="B32" t="s">
        <v>33</v>
      </c>
      <c r="C32" t="s">
        <v>248</v>
      </c>
      <c r="D32" s="5" t="s">
        <v>307</v>
      </c>
      <c r="E32">
        <v>-72.171499999999995</v>
      </c>
      <c r="F32">
        <v>42.537799999999997</v>
      </c>
      <c r="G32" t="str">
        <f>VLOOKUP(B32,AMF!$A$2:$G$691,7,FALSE)</f>
        <v>DBF</v>
      </c>
      <c r="H32" t="str">
        <f>VLOOKUP(B32,AMF!$A$2:$I$691,9,FALSE)</f>
        <v>Dfb</v>
      </c>
      <c r="I32" t="s">
        <v>481</v>
      </c>
      <c r="J32" t="str">
        <f t="shared" si="0"/>
        <v>D</v>
      </c>
    </row>
    <row r="33" spans="1:10" x14ac:dyDescent="0.25">
      <c r="A33" s="1">
        <v>31</v>
      </c>
      <c r="B33" t="s">
        <v>34</v>
      </c>
      <c r="C33" t="s">
        <v>249</v>
      </c>
      <c r="D33" s="5" t="s">
        <v>307</v>
      </c>
      <c r="E33">
        <v>-79.195700000000002</v>
      </c>
      <c r="F33">
        <v>33.345500000000001</v>
      </c>
      <c r="G33" t="str">
        <f>VLOOKUP(B33,AMF!$A$2:$G$691,7,FALSE)</f>
        <v>WET</v>
      </c>
      <c r="H33" t="str">
        <f>VLOOKUP(B33,AMF!$A$2:$I$691,9,FALSE)</f>
        <v>Cfa</v>
      </c>
      <c r="I33" t="s">
        <v>360</v>
      </c>
      <c r="J33" t="str">
        <f t="shared" si="0"/>
        <v>C</v>
      </c>
    </row>
    <row r="34" spans="1:10" x14ac:dyDescent="0.25">
      <c r="A34" s="1">
        <v>32</v>
      </c>
      <c r="B34" t="s">
        <v>35</v>
      </c>
      <c r="C34" t="s">
        <v>249</v>
      </c>
      <c r="D34" s="5" t="s">
        <v>307</v>
      </c>
      <c r="E34">
        <v>-79.244</v>
      </c>
      <c r="F34">
        <v>33.324199999999998</v>
      </c>
      <c r="G34" t="str">
        <f>VLOOKUP(B34,AMF!$A$2:$G$691,7,FALSE)</f>
        <v>ENF</v>
      </c>
      <c r="H34" t="str">
        <f>VLOOKUP(B34,AMF!$A$2:$I$691,9,FALSE)</f>
        <v>Cfa</v>
      </c>
      <c r="I34" t="s">
        <v>360</v>
      </c>
      <c r="J34" t="str">
        <f t="shared" si="0"/>
        <v>C</v>
      </c>
    </row>
    <row r="35" spans="1:10" x14ac:dyDescent="0.25">
      <c r="A35" s="1">
        <v>33</v>
      </c>
      <c r="B35" t="s">
        <v>36</v>
      </c>
      <c r="C35" t="s">
        <v>250</v>
      </c>
      <c r="D35" s="5" t="s">
        <v>307</v>
      </c>
      <c r="E35">
        <v>-79.232200000000006</v>
      </c>
      <c r="F35">
        <v>33.348199999999999</v>
      </c>
      <c r="G35" t="str">
        <f>VLOOKUP(B35,AMF!$A$2:$G$691,7,FALSE)</f>
        <v>ENF</v>
      </c>
      <c r="H35" t="str">
        <f>VLOOKUP(B35,AMF!$A$2:$I$691,9,FALSE)</f>
        <v>Cfa</v>
      </c>
      <c r="I35" t="s">
        <v>360</v>
      </c>
      <c r="J35" t="str">
        <f t="shared" si="0"/>
        <v>C</v>
      </c>
    </row>
    <row r="36" spans="1:10" x14ac:dyDescent="0.25">
      <c r="A36" s="1">
        <v>34</v>
      </c>
      <c r="B36" t="s">
        <v>37</v>
      </c>
      <c r="C36" t="s">
        <v>251</v>
      </c>
      <c r="D36" s="5" t="s">
        <v>307</v>
      </c>
      <c r="E36">
        <v>-119.4641</v>
      </c>
      <c r="F36">
        <v>46.688899999999997</v>
      </c>
      <c r="G36" t="str">
        <f>VLOOKUP(B36,AMF!$A$2:$G$691,7,FALSE)</f>
        <v>GRA</v>
      </c>
      <c r="H36" t="str">
        <f>VLOOKUP(B36,AMF!$A$2:$I$691,9,FALSE)</f>
        <v>Bsk</v>
      </c>
      <c r="I36" t="s">
        <v>3718</v>
      </c>
      <c r="J36" t="str">
        <f t="shared" si="0"/>
        <v>B</v>
      </c>
    </row>
    <row r="37" spans="1:10" x14ac:dyDescent="0.25">
      <c r="A37" s="1">
        <v>35</v>
      </c>
      <c r="B37" t="s">
        <v>38</v>
      </c>
      <c r="C37" t="s">
        <v>252</v>
      </c>
      <c r="D37" s="5" t="s">
        <v>307</v>
      </c>
      <c r="E37">
        <v>-119.4614</v>
      </c>
      <c r="F37">
        <v>46.687800000000003</v>
      </c>
      <c r="G37" t="str">
        <f>VLOOKUP(B37,AMF!$A$2:$G$691,7,FALSE)</f>
        <v>OSH</v>
      </c>
      <c r="H37" t="str">
        <f>VLOOKUP(B37,AMF!$A$2:$I$691,9,FALSE)</f>
        <v>Bsk</v>
      </c>
      <c r="I37" t="s">
        <v>3718</v>
      </c>
      <c r="J37" t="str">
        <f t="shared" si="0"/>
        <v>B</v>
      </c>
    </row>
    <row r="38" spans="1:10" x14ac:dyDescent="0.25">
      <c r="A38" s="1">
        <v>36</v>
      </c>
      <c r="B38" t="s">
        <v>39</v>
      </c>
      <c r="C38" t="s">
        <v>253</v>
      </c>
      <c r="D38" s="5" t="s">
        <v>307</v>
      </c>
      <c r="E38">
        <v>-68.747</v>
      </c>
      <c r="F38">
        <v>45.209099999999999</v>
      </c>
      <c r="G38" t="str">
        <f>VLOOKUP(B38,AMF!$A$2:$G$691,7,FALSE)</f>
        <v>ENF</v>
      </c>
      <c r="H38" t="str">
        <f>VLOOKUP(B38,AMF!$A$2:$I$691,9,FALSE)</f>
        <v>Dfb</v>
      </c>
      <c r="I38" t="s">
        <v>481</v>
      </c>
      <c r="J38" t="str">
        <f t="shared" si="0"/>
        <v>D</v>
      </c>
    </row>
    <row r="39" spans="1:10" x14ac:dyDescent="0.25">
      <c r="A39" s="1">
        <v>37</v>
      </c>
      <c r="B39" t="s">
        <v>40</v>
      </c>
      <c r="C39" t="s">
        <v>251</v>
      </c>
      <c r="D39" s="5" t="s">
        <v>307</v>
      </c>
      <c r="E39">
        <v>-77.848799999999997</v>
      </c>
      <c r="F39">
        <v>40.860799999999998</v>
      </c>
      <c r="G39" t="str">
        <f>VLOOKUP(B39,AMF!$A$2:$G$691,7,FALSE)</f>
        <v>CVM</v>
      </c>
      <c r="H39" t="str">
        <f>VLOOKUP(B39,AMF!$A$2:$I$691,9,FALSE)</f>
        <v>Dfb</v>
      </c>
      <c r="I39" t="s">
        <v>1175</v>
      </c>
      <c r="J39" t="str">
        <f t="shared" si="0"/>
        <v>D</v>
      </c>
    </row>
    <row r="40" spans="1:10" x14ac:dyDescent="0.25">
      <c r="A40" s="1">
        <v>38</v>
      </c>
      <c r="B40" t="s">
        <v>41</v>
      </c>
      <c r="C40" t="s">
        <v>254</v>
      </c>
      <c r="D40" s="5" t="s">
        <v>307</v>
      </c>
      <c r="E40">
        <v>-149.29580000000001</v>
      </c>
      <c r="F40">
        <v>68.606800000000007</v>
      </c>
      <c r="G40" t="str">
        <f>VLOOKUP(B40,AMF!$A$2:$G$691,7,FALSE)</f>
        <v>OSH</v>
      </c>
      <c r="H40" t="str">
        <f>VLOOKUP(B40,AMF!$A$2:$I$691,9,FALSE)</f>
        <v>ET</v>
      </c>
      <c r="I40" t="s">
        <v>539</v>
      </c>
      <c r="J40" t="str">
        <f t="shared" si="0"/>
        <v>D</v>
      </c>
    </row>
    <row r="41" spans="1:10" x14ac:dyDescent="0.25">
      <c r="A41" s="1">
        <v>39</v>
      </c>
      <c r="B41" t="s">
        <v>42</v>
      </c>
      <c r="C41" t="s">
        <v>232</v>
      </c>
      <c r="D41" s="5" t="s">
        <v>307</v>
      </c>
      <c r="E41">
        <v>-149.31100000000001</v>
      </c>
      <c r="F41">
        <v>68.605800000000002</v>
      </c>
      <c r="G41" t="str">
        <f>VLOOKUP(B41,AMF!$A$2:$G$691,7,FALSE)</f>
        <v>WET</v>
      </c>
      <c r="H41" t="str">
        <f>VLOOKUP(B41,AMF!$A$2:$I$691,9,FALSE)</f>
        <v>ET</v>
      </c>
      <c r="I41" t="s">
        <v>539</v>
      </c>
      <c r="J41" t="str">
        <f t="shared" si="0"/>
        <v>D</v>
      </c>
    </row>
    <row r="42" spans="1:10" x14ac:dyDescent="0.25">
      <c r="A42" s="1">
        <v>40</v>
      </c>
      <c r="B42" t="s">
        <v>43</v>
      </c>
      <c r="C42" t="s">
        <v>254</v>
      </c>
      <c r="D42" s="5" t="s">
        <v>307</v>
      </c>
      <c r="E42">
        <v>-149.30410000000001</v>
      </c>
      <c r="F42">
        <v>68.606300000000005</v>
      </c>
      <c r="G42" t="str">
        <f>VLOOKUP(B42,AMF!$A$2:$G$691,7,FALSE)</f>
        <v>OSH</v>
      </c>
      <c r="H42" t="str">
        <f>VLOOKUP(B42,AMF!$A$2:$I$691,9,FALSE)</f>
        <v>ET</v>
      </c>
      <c r="I42" t="s">
        <v>539</v>
      </c>
      <c r="J42" t="str">
        <f t="shared" si="0"/>
        <v>D</v>
      </c>
    </row>
    <row r="43" spans="1:10" x14ac:dyDescent="0.25">
      <c r="A43" s="1">
        <v>41</v>
      </c>
      <c r="B43" t="s">
        <v>44</v>
      </c>
      <c r="C43" t="s">
        <v>255</v>
      </c>
      <c r="D43" s="5" t="s">
        <v>307</v>
      </c>
      <c r="E43">
        <v>-106.63500000000001</v>
      </c>
      <c r="F43">
        <v>32.582000000000001</v>
      </c>
      <c r="G43" t="str">
        <f>VLOOKUP(B43,AMF!$A$2:$G$691,7,FALSE)</f>
        <v>OSH</v>
      </c>
      <c r="H43" t="str">
        <f>VLOOKUP(B43,AMF!$A$2:$I$691,9,FALSE)</f>
        <v>Bwk</v>
      </c>
      <c r="I43" t="s">
        <v>3718</v>
      </c>
      <c r="J43" t="str">
        <f t="shared" si="0"/>
        <v>B</v>
      </c>
    </row>
    <row r="44" spans="1:10" x14ac:dyDescent="0.25">
      <c r="A44" s="1">
        <v>42</v>
      </c>
      <c r="B44" t="s">
        <v>45</v>
      </c>
      <c r="C44" t="s">
        <v>255</v>
      </c>
      <c r="D44" s="5" t="s">
        <v>307</v>
      </c>
      <c r="E44">
        <v>-106.6032</v>
      </c>
      <c r="F44">
        <v>32.584899999999998</v>
      </c>
      <c r="G44" t="str">
        <f>VLOOKUP(B44,AMF!$A$2:$G$691,7,FALSE)</f>
        <v>OSH</v>
      </c>
      <c r="H44" t="str">
        <f>VLOOKUP(B44,AMF!$A$2:$I$691,9,FALSE)</f>
        <v>Bwk</v>
      </c>
      <c r="I44" t="s">
        <v>3718</v>
      </c>
      <c r="J44" t="str">
        <f t="shared" si="0"/>
        <v>B</v>
      </c>
    </row>
    <row r="45" spans="1:10" x14ac:dyDescent="0.25">
      <c r="A45" s="1">
        <v>43</v>
      </c>
      <c r="B45" t="s">
        <v>46</v>
      </c>
      <c r="C45" t="s">
        <v>256</v>
      </c>
      <c r="D45" s="5" t="s">
        <v>307</v>
      </c>
      <c r="E45">
        <v>-95.190700000000007</v>
      </c>
      <c r="F45">
        <v>39.056100000000001</v>
      </c>
      <c r="G45" t="str">
        <f>VLOOKUP(B45,AMF!$A$2:$G$691,7,FALSE)</f>
        <v>GRA</v>
      </c>
      <c r="H45" t="str">
        <f>VLOOKUP(B45,AMF!$A$2:$I$691,9,FALSE)</f>
        <v>Cfa</v>
      </c>
      <c r="I45" t="s">
        <v>1175</v>
      </c>
      <c r="J45" t="str">
        <f t="shared" si="0"/>
        <v>D</v>
      </c>
    </row>
    <row r="46" spans="1:10" x14ac:dyDescent="0.25">
      <c r="A46" s="1">
        <v>44</v>
      </c>
      <c r="B46" t="s">
        <v>47</v>
      </c>
      <c r="C46" t="s">
        <v>257</v>
      </c>
      <c r="D46" s="5" t="s">
        <v>307</v>
      </c>
      <c r="E46">
        <v>-97.568399999999997</v>
      </c>
      <c r="F46">
        <v>38.774500000000003</v>
      </c>
      <c r="G46" t="str">
        <f>VLOOKUP(B46,AMF!$A$2:$G$691,7,FALSE)</f>
        <v>GRA</v>
      </c>
      <c r="H46" t="str">
        <f>VLOOKUP(B46,AMF!$A$2:$I$691,9,FALSE)</f>
        <v>Cfa</v>
      </c>
      <c r="I46" t="s">
        <v>1175</v>
      </c>
      <c r="J46" t="str">
        <f t="shared" si="0"/>
        <v>D</v>
      </c>
    </row>
    <row r="47" spans="1:10" x14ac:dyDescent="0.25">
      <c r="A47" s="1">
        <v>45</v>
      </c>
      <c r="B47" t="s">
        <v>48</v>
      </c>
      <c r="C47" t="s">
        <v>258</v>
      </c>
      <c r="D47" s="5" t="s">
        <v>307</v>
      </c>
      <c r="E47">
        <v>-96.560299999999998</v>
      </c>
      <c r="F47">
        <v>39.0824</v>
      </c>
      <c r="G47" t="str">
        <f>VLOOKUP(B47,AMF!$A$2:$G$691,7,FALSE)</f>
        <v>GRA</v>
      </c>
      <c r="H47" t="str">
        <f>VLOOKUP(B47,AMF!$A$2:$I$691,9,FALSE)</f>
        <v>Cfa</v>
      </c>
      <c r="I47" t="s">
        <v>1175</v>
      </c>
      <c r="J47" t="str">
        <f t="shared" si="0"/>
        <v>D</v>
      </c>
    </row>
    <row r="48" spans="1:10" x14ac:dyDescent="0.25">
      <c r="A48" s="1">
        <v>46</v>
      </c>
      <c r="B48" t="s">
        <v>49</v>
      </c>
      <c r="C48" t="s">
        <v>259</v>
      </c>
      <c r="D48" s="5" t="s">
        <v>307</v>
      </c>
      <c r="E48">
        <v>-80.742699999999999</v>
      </c>
      <c r="F48">
        <v>28.708400000000001</v>
      </c>
      <c r="G48" t="str">
        <f>VLOOKUP(B48,AMF!$A$2:$G$691,7,FALSE)</f>
        <v>WET</v>
      </c>
      <c r="H48" t="str">
        <f>VLOOKUP(B48,AMF!$A$2:$I$691,9,FALSE)</f>
        <v>Cfa</v>
      </c>
      <c r="I48" t="s">
        <v>360</v>
      </c>
      <c r="J48" t="str">
        <f t="shared" si="0"/>
        <v>C</v>
      </c>
    </row>
    <row r="49" spans="1:12" x14ac:dyDescent="0.25">
      <c r="A49" s="1">
        <v>47</v>
      </c>
      <c r="B49" t="s">
        <v>50</v>
      </c>
      <c r="C49" t="s">
        <v>260</v>
      </c>
      <c r="D49" s="5" t="s">
        <v>307</v>
      </c>
      <c r="E49">
        <v>-121.55889999999999</v>
      </c>
      <c r="F49">
        <v>44.452599999999997</v>
      </c>
      <c r="G49" t="str">
        <f>VLOOKUP(B49,AMF!$A$2:$G$691,7,FALSE)</f>
        <v>ENF</v>
      </c>
      <c r="H49" t="str">
        <f>VLOOKUP(B49,AMF!$A$2:$I$691,9,FALSE)</f>
        <v>Csb</v>
      </c>
      <c r="I49" t="s">
        <v>1302</v>
      </c>
      <c r="J49" t="str">
        <f t="shared" si="0"/>
        <v>D</v>
      </c>
    </row>
    <row r="50" spans="1:12" x14ac:dyDescent="0.25">
      <c r="A50" s="1">
        <v>48</v>
      </c>
      <c r="B50" t="s">
        <v>51</v>
      </c>
      <c r="C50" t="s">
        <v>242</v>
      </c>
      <c r="D50" s="5" t="s">
        <v>307</v>
      </c>
      <c r="E50">
        <v>-121.6078</v>
      </c>
      <c r="F50">
        <v>44.323300000000003</v>
      </c>
      <c r="G50" t="str">
        <f>VLOOKUP(B50,AMF!$A$2:$G$691,7,FALSE)</f>
        <v>ENF</v>
      </c>
      <c r="H50" t="str">
        <f>VLOOKUP(B50,AMF!$A$2:$I$691,9,FALSE)</f>
        <v>Csb</v>
      </c>
      <c r="I50" t="s">
        <v>573</v>
      </c>
      <c r="J50" t="str">
        <f t="shared" si="0"/>
        <v>C</v>
      </c>
    </row>
    <row r="51" spans="1:12" x14ac:dyDescent="0.25">
      <c r="A51" s="1">
        <v>49</v>
      </c>
      <c r="B51" t="s">
        <v>52</v>
      </c>
      <c r="C51" t="s">
        <v>253</v>
      </c>
      <c r="D51" s="5" t="s">
        <v>307</v>
      </c>
      <c r="E51">
        <v>-86.4131</v>
      </c>
      <c r="F51">
        <v>39.3232</v>
      </c>
      <c r="G51" t="str">
        <f>VLOOKUP(B51,AMF!$A$2:$G$691,7,FALSE)</f>
        <v>DBF</v>
      </c>
      <c r="H51" t="str">
        <f>VLOOKUP(B51,AMF!$A$2:$I$691,9,FALSE)</f>
        <v>Cfa</v>
      </c>
      <c r="I51" t="s">
        <v>1175</v>
      </c>
      <c r="J51" t="str">
        <f t="shared" si="0"/>
        <v>D</v>
      </c>
    </row>
    <row r="52" spans="1:12" x14ac:dyDescent="0.25">
      <c r="A52" s="1">
        <v>50</v>
      </c>
      <c r="B52" t="s">
        <v>53</v>
      </c>
      <c r="C52" t="s">
        <v>234</v>
      </c>
      <c r="D52" s="5" t="s">
        <v>307</v>
      </c>
      <c r="E52">
        <v>-92.116699999999994</v>
      </c>
      <c r="F52">
        <v>39.229799999999997</v>
      </c>
      <c r="G52" t="str">
        <f>VLOOKUP(B52,AMF!$A$2:$G$691,7,FALSE)</f>
        <v>CRO</v>
      </c>
      <c r="H52" t="str">
        <f>VLOOKUP(B52,AMF!$A$2:$I$691,9,FALSE)</f>
        <v>Cfa</v>
      </c>
      <c r="I52" t="s">
        <v>1175</v>
      </c>
      <c r="J52" t="str">
        <f t="shared" si="0"/>
        <v>D</v>
      </c>
      <c r="K52" t="s">
        <v>3795</v>
      </c>
    </row>
    <row r="53" spans="1:12" x14ac:dyDescent="0.25">
      <c r="A53" s="1">
        <v>51</v>
      </c>
      <c r="B53" t="s">
        <v>54</v>
      </c>
      <c r="C53" t="s">
        <v>241</v>
      </c>
      <c r="D53" s="5" t="s">
        <v>307</v>
      </c>
      <c r="E53">
        <v>-91.994500000000002</v>
      </c>
      <c r="F53">
        <v>38.948799999999999</v>
      </c>
      <c r="G53" t="str">
        <f>VLOOKUP(B53,AMF!$A$2:$G$691,7,FALSE)</f>
        <v>GRA</v>
      </c>
      <c r="H53" t="str">
        <f>VLOOKUP(B53,AMF!$A$2:$I$691,9,FALSE)</f>
        <v>Cfa</v>
      </c>
      <c r="I53" t="s">
        <v>1175</v>
      </c>
      <c r="J53" t="str">
        <f t="shared" si="0"/>
        <v>D</v>
      </c>
    </row>
    <row r="54" spans="1:12" x14ac:dyDescent="0.25">
      <c r="A54" s="1">
        <v>52</v>
      </c>
      <c r="B54" t="s">
        <v>55</v>
      </c>
      <c r="C54" t="s">
        <v>237</v>
      </c>
      <c r="D54" s="5" t="s">
        <v>307</v>
      </c>
      <c r="E54">
        <v>-92.149699999999996</v>
      </c>
      <c r="F54">
        <v>39.231099999999998</v>
      </c>
      <c r="G54" t="str">
        <f>VLOOKUP(B54,AMF!$A$2:$G$691,7,FALSE)</f>
        <v>CRO</v>
      </c>
      <c r="H54" t="str">
        <f>VLOOKUP(B54,AMF!$A$2:$I$691,9,FALSE)</f>
        <v>Cfa</v>
      </c>
      <c r="I54" t="s">
        <v>1175</v>
      </c>
      <c r="J54" t="str">
        <f t="shared" si="0"/>
        <v>D</v>
      </c>
      <c r="K54" t="s">
        <v>3796</v>
      </c>
    </row>
    <row r="55" spans="1:12" x14ac:dyDescent="0.25">
      <c r="A55" s="1">
        <v>53</v>
      </c>
      <c r="B55" t="s">
        <v>56</v>
      </c>
      <c r="C55" t="s">
        <v>258</v>
      </c>
      <c r="D55" s="5" t="s">
        <v>307</v>
      </c>
      <c r="E55">
        <v>-92.2</v>
      </c>
      <c r="F55">
        <v>38.744100000000003</v>
      </c>
      <c r="G55" t="str">
        <f>VLOOKUP(B55,AMF!$A$2:$G$691,7,FALSE)</f>
        <v>DBF</v>
      </c>
      <c r="H55" t="str">
        <f>VLOOKUP(B55,AMF!$A$2:$I$691,9,FALSE)</f>
        <v>Cfa</v>
      </c>
      <c r="I55" t="s">
        <v>1175</v>
      </c>
      <c r="J55" t="str">
        <f t="shared" si="0"/>
        <v>D</v>
      </c>
    </row>
    <row r="56" spans="1:12" x14ac:dyDescent="0.25">
      <c r="A56" s="1">
        <v>54</v>
      </c>
      <c r="B56" t="s">
        <v>57</v>
      </c>
      <c r="C56" t="s">
        <v>246</v>
      </c>
      <c r="D56" s="5" t="s">
        <v>307</v>
      </c>
      <c r="E56">
        <v>-106.2377</v>
      </c>
      <c r="F56">
        <v>34.438499999999998</v>
      </c>
      <c r="G56" t="str">
        <f>VLOOKUP(B56,AMF!$A$2:$G$691,7,FALSE)</f>
        <v>WSA</v>
      </c>
      <c r="H56" t="str">
        <f>VLOOKUP(B56,AMF!$A$2:$I$691,9,FALSE)</f>
        <v>Bsk</v>
      </c>
      <c r="I56" t="s">
        <v>3724</v>
      </c>
      <c r="J56" t="str">
        <f t="shared" si="0"/>
        <v>B</v>
      </c>
    </row>
    <row r="57" spans="1:12" x14ac:dyDescent="0.25">
      <c r="A57" s="1">
        <v>55</v>
      </c>
      <c r="B57" t="s">
        <v>58</v>
      </c>
      <c r="C57" t="s">
        <v>242</v>
      </c>
      <c r="D57" s="5" t="s">
        <v>307</v>
      </c>
      <c r="E57">
        <v>-121.765</v>
      </c>
      <c r="F57">
        <v>38.049900000000001</v>
      </c>
      <c r="G57" t="str">
        <f>VLOOKUP(B57,AMF!$A$2:$G$691,7,FALSE)</f>
        <v>WET</v>
      </c>
      <c r="H57" t="str">
        <f>VLOOKUP(B57,AMF!$A$2:$I$691,9,FALSE)</f>
        <v>Csa</v>
      </c>
      <c r="I57" t="s">
        <v>632</v>
      </c>
      <c r="J57" t="str">
        <f t="shared" si="0"/>
        <v>C</v>
      </c>
    </row>
    <row r="58" spans="1:12" x14ac:dyDescent="0.25">
      <c r="A58" s="1">
        <v>56</v>
      </c>
      <c r="B58" t="s">
        <v>59</v>
      </c>
      <c r="C58" t="s">
        <v>261</v>
      </c>
      <c r="D58" s="5" t="s">
        <v>307</v>
      </c>
      <c r="E58">
        <v>-76.656000000000006</v>
      </c>
      <c r="F58">
        <v>35.798999999999999</v>
      </c>
      <c r="G58" t="str">
        <f>VLOOKUP(B58,AMF!$A$2:$G$691,7,FALSE)</f>
        <v>ENF</v>
      </c>
      <c r="H58" t="str">
        <f>VLOOKUP(B58,AMF!$A$2:$I$691,9,FALSE)</f>
        <v>Cfa</v>
      </c>
      <c r="I58" t="s">
        <v>360</v>
      </c>
      <c r="J58" t="str">
        <f t="shared" si="0"/>
        <v>C</v>
      </c>
    </row>
    <row r="59" spans="1:12" x14ac:dyDescent="0.25">
      <c r="A59" s="1">
        <v>57</v>
      </c>
      <c r="B59" t="s">
        <v>60</v>
      </c>
      <c r="C59" t="s">
        <v>262</v>
      </c>
      <c r="D59" s="5" t="s">
        <v>307</v>
      </c>
      <c r="E59">
        <v>-75.903800000000004</v>
      </c>
      <c r="F59">
        <v>35.7879</v>
      </c>
      <c r="G59" t="str">
        <f>VLOOKUP(B59,AMF!$A$2:$G$691,7,FALSE)</f>
        <v>WET</v>
      </c>
      <c r="H59" t="str">
        <f>VLOOKUP(B59,AMF!$A$2:$I$691,9,FALSE)</f>
        <v>Cfa</v>
      </c>
      <c r="I59" t="s">
        <v>360</v>
      </c>
      <c r="J59" t="str">
        <f t="shared" si="0"/>
        <v>C</v>
      </c>
    </row>
    <row r="60" spans="1:12" x14ac:dyDescent="0.25">
      <c r="A60" s="1">
        <v>58</v>
      </c>
      <c r="B60" t="s">
        <v>61</v>
      </c>
      <c r="C60" t="s">
        <v>263</v>
      </c>
      <c r="D60" s="5" t="s">
        <v>307</v>
      </c>
      <c r="E60">
        <v>-96.476600000000005</v>
      </c>
      <c r="F60">
        <v>41.165100000000002</v>
      </c>
      <c r="G60" t="str">
        <f>VLOOKUP(B60,AMF!$A$2:$G$691,7,FALSE)</f>
        <v>CRO</v>
      </c>
      <c r="H60" t="str">
        <f>VLOOKUP(B60,AMF!$A$2:$I$691,9,FALSE)</f>
        <v>Dfa</v>
      </c>
      <c r="I60" t="s">
        <v>1175</v>
      </c>
      <c r="J60" t="str">
        <f t="shared" si="0"/>
        <v>D</v>
      </c>
      <c r="K60" t="s">
        <v>3788</v>
      </c>
      <c r="L60" t="s">
        <v>3789</v>
      </c>
    </row>
    <row r="61" spans="1:12" x14ac:dyDescent="0.25">
      <c r="A61" s="1">
        <v>59</v>
      </c>
      <c r="B61" t="s">
        <v>62</v>
      </c>
      <c r="C61" t="s">
        <v>257</v>
      </c>
      <c r="D61" s="5" t="s">
        <v>307</v>
      </c>
      <c r="E61">
        <v>-156.60919999999999</v>
      </c>
      <c r="F61">
        <v>71.28</v>
      </c>
      <c r="G61" t="str">
        <f>VLOOKUP(B61,AMF!$A$2:$G$691,7,FALSE)</f>
        <v>SNO</v>
      </c>
      <c r="H61" t="str">
        <f>VLOOKUP(B61,AMF!$A$2:$I$691,9,FALSE)</f>
        <v>ET</v>
      </c>
      <c r="I61" t="s">
        <v>680</v>
      </c>
      <c r="J61" t="str">
        <f t="shared" si="0"/>
        <v>E</v>
      </c>
    </row>
    <row r="62" spans="1:12" x14ac:dyDescent="0.25">
      <c r="A62" s="1">
        <v>60</v>
      </c>
      <c r="B62" t="s">
        <v>63</v>
      </c>
      <c r="C62" t="s">
        <v>264</v>
      </c>
      <c r="D62" s="5" t="s">
        <v>307</v>
      </c>
      <c r="E62">
        <v>-163.7002</v>
      </c>
      <c r="F62">
        <v>64.861800000000002</v>
      </c>
      <c r="G62" t="str">
        <f>VLOOKUP(B62,AMF!$A$2:$G$691,7,FALSE)</f>
        <v>GRA</v>
      </c>
      <c r="H62" t="str">
        <f>VLOOKUP(B62,AMF!$A$2:$I$691,9,FALSE)</f>
        <v>ET</v>
      </c>
      <c r="I62" t="s">
        <v>539</v>
      </c>
      <c r="J62" t="str">
        <f t="shared" si="0"/>
        <v>D</v>
      </c>
    </row>
    <row r="63" spans="1:12" x14ac:dyDescent="0.25">
      <c r="A63" s="1">
        <v>61</v>
      </c>
      <c r="B63" t="s">
        <v>64</v>
      </c>
      <c r="C63" t="s">
        <v>231</v>
      </c>
      <c r="D63" s="5" t="s">
        <v>307</v>
      </c>
      <c r="E63">
        <v>-81.950900000000004</v>
      </c>
      <c r="F63">
        <v>27.383600000000001</v>
      </c>
      <c r="G63" t="str">
        <f>VLOOKUP(B63,AMF!$A$2:$G$691,7,FALSE)</f>
        <v>GRA</v>
      </c>
      <c r="H63" t="str">
        <f>VLOOKUP(B63,AMF!$A$2:$I$691,9,FALSE)</f>
        <v>Cfa</v>
      </c>
      <c r="I63" t="s">
        <v>360</v>
      </c>
      <c r="J63" t="str">
        <f t="shared" si="0"/>
        <v>C</v>
      </c>
    </row>
    <row r="64" spans="1:12" x14ac:dyDescent="0.25">
      <c r="A64" s="1">
        <v>62</v>
      </c>
      <c r="B64" t="s">
        <v>65</v>
      </c>
      <c r="C64" t="s">
        <v>237</v>
      </c>
      <c r="D64" s="5" t="s">
        <v>307</v>
      </c>
      <c r="E64">
        <v>-89.415800000000004</v>
      </c>
      <c r="F64">
        <v>43.089599999999997</v>
      </c>
      <c r="G64" t="str">
        <f>VLOOKUP(B64,AMF!$A$2:$G$691,7,FALSE)</f>
        <v>WAT</v>
      </c>
      <c r="H64" t="str">
        <f>VLOOKUP(B64,AMF!$A$2:$I$691,9,FALSE)</f>
        <v>Dfa</v>
      </c>
      <c r="I64" t="s">
        <v>1175</v>
      </c>
      <c r="J64" t="str">
        <f t="shared" si="0"/>
        <v>D</v>
      </c>
    </row>
    <row r="65" spans="1:12" x14ac:dyDescent="0.25">
      <c r="A65" s="1">
        <v>63</v>
      </c>
      <c r="B65" t="s">
        <v>66</v>
      </c>
      <c r="C65" t="s">
        <v>245</v>
      </c>
      <c r="D65" s="5" t="s">
        <v>307</v>
      </c>
      <c r="E65">
        <v>-91.673299999999998</v>
      </c>
      <c r="F65">
        <v>34.415900000000001</v>
      </c>
      <c r="G65" t="str">
        <f>VLOOKUP(B65,AMF!$A$2:$G$691,7,FALSE)</f>
        <v>CRO</v>
      </c>
      <c r="H65" t="str">
        <f>VLOOKUP(B65,AMF!$A$2:$I$691,9,FALSE)</f>
        <v>Csa</v>
      </c>
      <c r="I65" t="s">
        <v>360</v>
      </c>
      <c r="J65" t="str">
        <f t="shared" si="0"/>
        <v>C</v>
      </c>
      <c r="K65" t="s">
        <v>3797</v>
      </c>
    </row>
    <row r="66" spans="1:12" x14ac:dyDescent="0.25">
      <c r="A66" s="1">
        <v>64</v>
      </c>
      <c r="B66" t="s">
        <v>67</v>
      </c>
      <c r="C66" t="s">
        <v>245</v>
      </c>
      <c r="D66" s="5" t="s">
        <v>307</v>
      </c>
      <c r="E66">
        <v>-121.8579</v>
      </c>
      <c r="F66">
        <v>39.578200000000002</v>
      </c>
      <c r="G66" t="str">
        <f>VLOOKUP(B66,AMF!$A$2:$G$691,7,FALSE)</f>
        <v>CRO</v>
      </c>
      <c r="H66" t="str">
        <f>VLOOKUP(B66,AMF!$A$2:$I$691,9,FALSE)</f>
        <v>Csa</v>
      </c>
      <c r="I66" t="s">
        <v>632</v>
      </c>
      <c r="J66" t="str">
        <f t="shared" si="0"/>
        <v>C</v>
      </c>
      <c r="K66" t="s">
        <v>3798</v>
      </c>
    </row>
    <row r="67" spans="1:12" x14ac:dyDescent="0.25">
      <c r="A67" s="1">
        <v>65</v>
      </c>
      <c r="B67" t="s">
        <v>68</v>
      </c>
      <c r="C67" t="s">
        <v>245</v>
      </c>
      <c r="D67" s="5" t="s">
        <v>307</v>
      </c>
      <c r="E67">
        <v>-122.0026</v>
      </c>
      <c r="F67">
        <v>39.680500000000002</v>
      </c>
      <c r="G67" t="str">
        <f>VLOOKUP(B67,AMF!$A$2:$G$691,7,FALSE)</f>
        <v>CRO</v>
      </c>
      <c r="H67" t="str">
        <f>VLOOKUP(B67,AMF!$A$2:$I$691,9,FALSE)</f>
        <v>Csa</v>
      </c>
      <c r="I67" t="s">
        <v>632</v>
      </c>
      <c r="J67" t="str">
        <f t="shared" ref="J67:J130" si="1">LEFT(I67,1)</f>
        <v>C</v>
      </c>
      <c r="K67" t="s">
        <v>3799</v>
      </c>
    </row>
    <row r="68" spans="1:12" x14ac:dyDescent="0.25">
      <c r="A68" s="1">
        <v>66</v>
      </c>
      <c r="B68" t="s">
        <v>69</v>
      </c>
      <c r="C68" t="s">
        <v>265</v>
      </c>
      <c r="D68" s="5" t="s">
        <v>307</v>
      </c>
      <c r="E68">
        <v>-116.73560000000001</v>
      </c>
      <c r="F68">
        <v>43.143900000000002</v>
      </c>
      <c r="G68" t="str">
        <f>VLOOKUP(B68,AMF!$A$2:$G$691,7,FALSE)</f>
        <v>CSH</v>
      </c>
      <c r="H68" t="str">
        <f>VLOOKUP(B68,AMF!$A$2:$I$691,9,FALSE)</f>
        <v>Bsh</v>
      </c>
      <c r="I68" t="s">
        <v>3724</v>
      </c>
      <c r="J68" t="str">
        <f t="shared" si="1"/>
        <v>B</v>
      </c>
    </row>
    <row r="69" spans="1:12" x14ac:dyDescent="0.25">
      <c r="A69" s="1">
        <v>67</v>
      </c>
      <c r="B69" t="s">
        <v>70</v>
      </c>
      <c r="C69" t="s">
        <v>230</v>
      </c>
      <c r="D69" s="5" t="s">
        <v>307</v>
      </c>
      <c r="E69">
        <v>-116.7486</v>
      </c>
      <c r="F69">
        <v>43.064500000000002</v>
      </c>
      <c r="G69" t="str">
        <f>VLOOKUP(B69,AMF!$A$2:$G$691,7,FALSE)</f>
        <v>CSH</v>
      </c>
      <c r="H69" t="str">
        <f>VLOOKUP(B69,AMF!$A$2:$I$691,9,FALSE)</f>
        <v>Bsh</v>
      </c>
      <c r="I69" t="s">
        <v>1302</v>
      </c>
      <c r="J69" t="str">
        <f t="shared" si="1"/>
        <v>D</v>
      </c>
    </row>
    <row r="70" spans="1:12" x14ac:dyDescent="0.25">
      <c r="A70" s="1">
        <v>68</v>
      </c>
      <c r="B70" t="s">
        <v>71</v>
      </c>
      <c r="C70" t="s">
        <v>265</v>
      </c>
      <c r="D70" s="5" t="s">
        <v>307</v>
      </c>
      <c r="E70">
        <v>-93.072299999999998</v>
      </c>
      <c r="F70">
        <v>44.678100000000001</v>
      </c>
      <c r="G70" t="str">
        <f>VLOOKUP(B70,AMF!$A$2:$G$691,7,FALSE)</f>
        <v>GRA</v>
      </c>
      <c r="H70" t="str">
        <f>VLOOKUP(B70,AMF!$A$2:$I$691,9,FALSE)</f>
        <v>Dfa</v>
      </c>
      <c r="I70" t="s">
        <v>1175</v>
      </c>
      <c r="J70" t="str">
        <f t="shared" si="1"/>
        <v>D</v>
      </c>
    </row>
    <row r="71" spans="1:12" x14ac:dyDescent="0.25">
      <c r="A71" s="1">
        <v>69</v>
      </c>
      <c r="B71" t="s">
        <v>72</v>
      </c>
      <c r="C71" t="s">
        <v>243</v>
      </c>
      <c r="D71" s="5" t="s">
        <v>307</v>
      </c>
      <c r="E71">
        <v>-93.057599999999994</v>
      </c>
      <c r="F71">
        <v>44.691000000000003</v>
      </c>
      <c r="G71" t="str">
        <f>VLOOKUP(B71,AMF!$A$2:$G$691,7,FALSE)</f>
        <v>CRO</v>
      </c>
      <c r="H71" t="str">
        <f>VLOOKUP(B71,AMF!$A$2:$I$691,9,FALSE)</f>
        <v>Dfa</v>
      </c>
      <c r="I71" t="s">
        <v>1175</v>
      </c>
      <c r="J71" t="str">
        <f t="shared" si="1"/>
        <v>D</v>
      </c>
      <c r="K71" t="s">
        <v>3790</v>
      </c>
      <c r="L71" t="s">
        <v>3787</v>
      </c>
    </row>
    <row r="72" spans="1:12" x14ac:dyDescent="0.25">
      <c r="A72" s="1">
        <v>70</v>
      </c>
      <c r="B72" t="s">
        <v>73</v>
      </c>
      <c r="C72" t="s">
        <v>238</v>
      </c>
      <c r="D72" s="5" t="s">
        <v>307</v>
      </c>
      <c r="E72">
        <v>-93.0578</v>
      </c>
      <c r="F72">
        <v>44.694600000000001</v>
      </c>
      <c r="G72" t="str">
        <f>VLOOKUP(B72,AMF!$A$2:$G$691,7,FALSE)</f>
        <v>CRO</v>
      </c>
      <c r="H72" t="str">
        <f>VLOOKUP(B72,AMF!$A$2:$I$691,9,FALSE)</f>
        <v>Dfa</v>
      </c>
      <c r="I72" t="s">
        <v>1175</v>
      </c>
      <c r="J72" t="str">
        <f t="shared" si="1"/>
        <v>D</v>
      </c>
      <c r="K72" t="s">
        <v>3791</v>
      </c>
      <c r="L72" t="s">
        <v>3787</v>
      </c>
    </row>
    <row r="73" spans="1:12" x14ac:dyDescent="0.25">
      <c r="A73" s="1">
        <v>71</v>
      </c>
      <c r="B73" t="s">
        <v>74</v>
      </c>
      <c r="C73" t="s">
        <v>266</v>
      </c>
      <c r="D73" s="5" t="s">
        <v>307</v>
      </c>
      <c r="E73">
        <v>-147.429</v>
      </c>
      <c r="F73">
        <v>65.119799999999998</v>
      </c>
      <c r="G73" t="str">
        <f>VLOOKUP(B73,AMF!$A$2:$G$691,7,FALSE)</f>
        <v>DBF</v>
      </c>
      <c r="H73" t="str">
        <f>VLOOKUP(B73,AMF!$A$2:$I$691,9,FALSE)</f>
        <v>Dwc</v>
      </c>
      <c r="I73" t="s">
        <v>539</v>
      </c>
      <c r="J73" t="str">
        <f t="shared" si="1"/>
        <v>D</v>
      </c>
    </row>
    <row r="74" spans="1:12" x14ac:dyDescent="0.25">
      <c r="A74" s="1">
        <v>72</v>
      </c>
      <c r="B74" t="s">
        <v>75</v>
      </c>
      <c r="C74" t="s">
        <v>230</v>
      </c>
      <c r="D74" s="5" t="s">
        <v>307</v>
      </c>
      <c r="E74">
        <v>-116.7231</v>
      </c>
      <c r="F74">
        <v>43.120699999999999</v>
      </c>
      <c r="G74" t="str">
        <f>VLOOKUP(B74,AMF!$A$2:$G$691,7,FALSE)</f>
        <v>CSH</v>
      </c>
      <c r="H74" t="str">
        <f>VLOOKUP(B74,AMF!$A$2:$I$691,9,FALSE)</f>
        <v>Bsh</v>
      </c>
      <c r="I74" t="s">
        <v>1302</v>
      </c>
      <c r="J74" t="str">
        <f t="shared" si="1"/>
        <v>D</v>
      </c>
    </row>
    <row r="75" spans="1:12" x14ac:dyDescent="0.25">
      <c r="A75" s="1">
        <v>73</v>
      </c>
      <c r="B75" t="s">
        <v>76</v>
      </c>
      <c r="C75" t="s">
        <v>230</v>
      </c>
      <c r="D75" s="5" t="s">
        <v>307</v>
      </c>
      <c r="E75">
        <v>-116.7132</v>
      </c>
      <c r="F75">
        <v>43.167499999999997</v>
      </c>
      <c r="G75" t="str">
        <f>VLOOKUP(B75,AMF!$A$2:$G$691,7,FALSE)</f>
        <v>OSH</v>
      </c>
      <c r="H75" t="str">
        <f>VLOOKUP(B75,AMF!$A$2:$I$691,9,FALSE)</f>
        <v>Bsk</v>
      </c>
      <c r="I75" t="s">
        <v>3724</v>
      </c>
      <c r="J75" t="str">
        <f t="shared" si="1"/>
        <v>B</v>
      </c>
    </row>
    <row r="76" spans="1:12" x14ac:dyDescent="0.25">
      <c r="A76" s="1">
        <v>74</v>
      </c>
      <c r="B76" t="s">
        <v>77</v>
      </c>
      <c r="C76" t="s">
        <v>254</v>
      </c>
      <c r="D76" s="5" t="s">
        <v>307</v>
      </c>
      <c r="E76">
        <v>-106.702</v>
      </c>
      <c r="F76">
        <v>34.362299999999998</v>
      </c>
      <c r="G76" t="str">
        <f>VLOOKUP(B76,AMF!$A$2:$G$691,7,FALSE)</f>
        <v>GRA</v>
      </c>
      <c r="H76" t="str">
        <f>VLOOKUP(B76,AMF!$A$2:$I$691,9,FALSE)</f>
        <v>Bsk</v>
      </c>
      <c r="I76" t="s">
        <v>3718</v>
      </c>
      <c r="J76" t="str">
        <f t="shared" si="1"/>
        <v>B</v>
      </c>
    </row>
    <row r="77" spans="1:12" x14ac:dyDescent="0.25">
      <c r="A77" s="1">
        <v>75</v>
      </c>
      <c r="B77" t="s">
        <v>78</v>
      </c>
      <c r="C77" t="s">
        <v>254</v>
      </c>
      <c r="D77" s="5" t="s">
        <v>307</v>
      </c>
      <c r="E77">
        <v>-106.74420000000001</v>
      </c>
      <c r="F77">
        <v>34.334899999999998</v>
      </c>
      <c r="G77" t="str">
        <f>VLOOKUP(B77,AMF!$A$2:$G$691,7,FALSE)</f>
        <v>OSH</v>
      </c>
      <c r="H77" t="str">
        <f>VLOOKUP(B77,AMF!$A$2:$I$691,9,FALSE)</f>
        <v>Bsk</v>
      </c>
      <c r="I77" t="s">
        <v>3718</v>
      </c>
      <c r="J77" t="str">
        <f t="shared" si="1"/>
        <v>B</v>
      </c>
    </row>
    <row r="78" spans="1:12" x14ac:dyDescent="0.25">
      <c r="A78" s="1">
        <v>76</v>
      </c>
      <c r="B78" t="s">
        <v>79</v>
      </c>
      <c r="C78" t="s">
        <v>239</v>
      </c>
      <c r="D78" s="5" t="s">
        <v>307</v>
      </c>
      <c r="E78">
        <v>-121.7547</v>
      </c>
      <c r="F78">
        <v>38.036900000000003</v>
      </c>
      <c r="G78" t="str">
        <f>VLOOKUP(B78,AMF!$A$2:$G$691,7,FALSE)</f>
        <v>GRA</v>
      </c>
      <c r="H78" t="str">
        <f>VLOOKUP(B78,AMF!$A$2:$I$691,9,FALSE)</f>
        <v>Csa</v>
      </c>
      <c r="I78" t="s">
        <v>632</v>
      </c>
      <c r="J78" t="str">
        <f t="shared" si="1"/>
        <v>C</v>
      </c>
    </row>
    <row r="79" spans="1:12" x14ac:dyDescent="0.25">
      <c r="A79" s="1">
        <v>77</v>
      </c>
      <c r="B79" t="s">
        <v>80</v>
      </c>
      <c r="C79" t="s">
        <v>267</v>
      </c>
      <c r="D79" s="5" t="s">
        <v>307</v>
      </c>
      <c r="E79">
        <v>-121.7272</v>
      </c>
      <c r="F79">
        <v>38.040199999999999</v>
      </c>
      <c r="G79" t="str">
        <f>VLOOKUP(B79,AMF!$A$2:$G$691,7,FALSE)</f>
        <v>GRA</v>
      </c>
      <c r="H79" t="str">
        <f>VLOOKUP(B79,AMF!$A$2:$I$691,9,FALSE)</f>
        <v>Csa</v>
      </c>
      <c r="I79" t="s">
        <v>632</v>
      </c>
      <c r="J79" t="str">
        <f t="shared" si="1"/>
        <v>C</v>
      </c>
    </row>
    <row r="80" spans="1:12" x14ac:dyDescent="0.25">
      <c r="A80" s="1">
        <v>78</v>
      </c>
      <c r="B80" t="s">
        <v>81</v>
      </c>
      <c r="C80" t="s">
        <v>266</v>
      </c>
      <c r="D80" s="5" t="s">
        <v>307</v>
      </c>
      <c r="E80">
        <v>-110.82769999999999</v>
      </c>
      <c r="F80">
        <v>31.789400000000001</v>
      </c>
      <c r="G80" t="str">
        <f>VLOOKUP(B80,AMF!$A$2:$G$691,7,FALSE)</f>
        <v>GRA</v>
      </c>
      <c r="H80" t="str">
        <f>VLOOKUP(B80,AMF!$A$2:$I$691,9,FALSE)</f>
        <v>Bsk</v>
      </c>
      <c r="I80" t="s">
        <v>3721</v>
      </c>
      <c r="J80" t="str">
        <f t="shared" si="1"/>
        <v>B</v>
      </c>
    </row>
    <row r="81" spans="1:11" x14ac:dyDescent="0.25">
      <c r="A81" s="1">
        <v>79</v>
      </c>
      <c r="B81" t="s">
        <v>82</v>
      </c>
      <c r="C81" t="s">
        <v>268</v>
      </c>
      <c r="D81" s="5" t="s">
        <v>307</v>
      </c>
      <c r="E81">
        <v>-110.85080000000001</v>
      </c>
      <c r="F81">
        <v>31.817299999999999</v>
      </c>
      <c r="G81" t="str">
        <f>VLOOKUP(B81,AMF!$A$2:$G$691,7,FALSE)</f>
        <v>WSA</v>
      </c>
      <c r="H81" t="str">
        <f>VLOOKUP(B81,AMF!$A$2:$I$691,9,FALSE)</f>
        <v>Bsk</v>
      </c>
      <c r="I81" t="s">
        <v>3721</v>
      </c>
      <c r="J81" t="str">
        <f t="shared" si="1"/>
        <v>B</v>
      </c>
    </row>
    <row r="82" spans="1:11" x14ac:dyDescent="0.25">
      <c r="A82" s="1">
        <v>80</v>
      </c>
      <c r="B82" t="s">
        <v>83</v>
      </c>
      <c r="C82" t="s">
        <v>269</v>
      </c>
      <c r="D82" s="5" t="s">
        <v>307</v>
      </c>
      <c r="E82">
        <v>-89.347700000000003</v>
      </c>
      <c r="F82">
        <v>46.241999999999997</v>
      </c>
      <c r="G82" t="str">
        <f>VLOOKUP(B82,AMF!$A$2:$G$691,7,FALSE)</f>
        <v>MF</v>
      </c>
      <c r="H82" t="str">
        <f>VLOOKUP(B82,AMF!$A$2:$I$691,9,FALSE)</f>
        <v>Dfb</v>
      </c>
      <c r="I82" t="s">
        <v>481</v>
      </c>
      <c r="J82" t="str">
        <f t="shared" si="1"/>
        <v>D</v>
      </c>
    </row>
    <row r="83" spans="1:11" x14ac:dyDescent="0.25">
      <c r="A83" s="1">
        <v>81</v>
      </c>
      <c r="B83" t="s">
        <v>84</v>
      </c>
      <c r="C83" t="s">
        <v>269</v>
      </c>
      <c r="D83" s="5" t="s">
        <v>307</v>
      </c>
      <c r="E83">
        <v>-120.96599999999999</v>
      </c>
      <c r="F83">
        <v>38.430900000000001</v>
      </c>
      <c r="G83" t="str">
        <f>VLOOKUP(B83,AMF!$A$2:$G$691,7,FALSE)</f>
        <v>WSA</v>
      </c>
      <c r="H83" t="str">
        <f>VLOOKUP(B83,AMF!$A$2:$I$691,9,FALSE)</f>
        <v>Csa</v>
      </c>
      <c r="I83" t="s">
        <v>632</v>
      </c>
      <c r="J83" t="str">
        <f t="shared" si="1"/>
        <v>C</v>
      </c>
    </row>
    <row r="84" spans="1:11" x14ac:dyDescent="0.25">
      <c r="A84" s="1">
        <v>82</v>
      </c>
      <c r="B84" t="s">
        <v>85</v>
      </c>
      <c r="C84" t="s">
        <v>270</v>
      </c>
      <c r="D84" s="5" t="s">
        <v>307</v>
      </c>
      <c r="E84">
        <v>-121.6469</v>
      </c>
      <c r="F84">
        <v>38.107399999999998</v>
      </c>
      <c r="G84" t="str">
        <f>VLOOKUP(B84,AMF!$A$2:$G$691,7,FALSE)</f>
        <v>WET</v>
      </c>
      <c r="H84" t="str">
        <f>VLOOKUP(B84,AMF!$A$2:$I$691,9,FALSE)</f>
        <v>Csa</v>
      </c>
      <c r="I84" t="s">
        <v>632</v>
      </c>
      <c r="J84" t="str">
        <f t="shared" si="1"/>
        <v>C</v>
      </c>
    </row>
    <row r="85" spans="1:11" x14ac:dyDescent="0.25">
      <c r="A85" s="1">
        <v>83</v>
      </c>
      <c r="B85" t="s">
        <v>86</v>
      </c>
      <c r="C85" t="s">
        <v>271</v>
      </c>
      <c r="D85" s="5" t="s">
        <v>307</v>
      </c>
      <c r="E85">
        <v>-121.6469</v>
      </c>
      <c r="F85">
        <v>38.115200000000002</v>
      </c>
      <c r="G85" t="str">
        <f>VLOOKUP(B85,AMF!$A$2:$G$691,7,FALSE)</f>
        <v>CRO</v>
      </c>
      <c r="H85" t="str">
        <f>VLOOKUP(B85,AMF!$A$2:$I$691,9,FALSE)</f>
        <v>Csa</v>
      </c>
      <c r="I85" t="s">
        <v>632</v>
      </c>
      <c r="J85" t="str">
        <f t="shared" si="1"/>
        <v>C</v>
      </c>
      <c r="K85" t="s">
        <v>3784</v>
      </c>
    </row>
    <row r="86" spans="1:11" x14ac:dyDescent="0.25">
      <c r="A86" s="1">
        <v>84</v>
      </c>
      <c r="B86" t="s">
        <v>87</v>
      </c>
      <c r="C86" t="s">
        <v>261</v>
      </c>
      <c r="D86" s="5" t="s">
        <v>307</v>
      </c>
      <c r="E86">
        <v>-121.6413</v>
      </c>
      <c r="F86">
        <v>38.102699999999999</v>
      </c>
      <c r="G86" t="str">
        <f>VLOOKUP(B86,AMF!$A$2:$G$691,7,FALSE)</f>
        <v>WET</v>
      </c>
      <c r="H86" t="str">
        <f>VLOOKUP(B86,AMF!$A$2:$I$691,9,FALSE)</f>
        <v>Csa</v>
      </c>
      <c r="I86" t="s">
        <v>632</v>
      </c>
      <c r="J86" t="str">
        <f t="shared" si="1"/>
        <v>C</v>
      </c>
    </row>
    <row r="87" spans="1:11" x14ac:dyDescent="0.25">
      <c r="A87" s="1">
        <v>85</v>
      </c>
      <c r="B87" t="s">
        <v>88</v>
      </c>
      <c r="C87" t="s">
        <v>233</v>
      </c>
      <c r="D87" s="5" t="s">
        <v>307</v>
      </c>
      <c r="E87">
        <v>-121.6426</v>
      </c>
      <c r="F87">
        <v>38.107199999999999</v>
      </c>
      <c r="G87" t="str">
        <f>VLOOKUP(B87,AMF!$A$2:$G$691,7,FALSE)</f>
        <v>WET</v>
      </c>
      <c r="H87" t="str">
        <f>VLOOKUP(B87,AMF!$A$2:$I$691,9,FALSE)</f>
        <v>Csa</v>
      </c>
      <c r="I87" t="s">
        <v>632</v>
      </c>
      <c r="J87" t="str">
        <f t="shared" si="1"/>
        <v>C</v>
      </c>
    </row>
    <row r="88" spans="1:11" x14ac:dyDescent="0.25">
      <c r="A88" s="1">
        <v>86</v>
      </c>
      <c r="B88" t="s">
        <v>89</v>
      </c>
      <c r="C88" t="s">
        <v>254</v>
      </c>
      <c r="D88" s="5" t="s">
        <v>307</v>
      </c>
      <c r="E88">
        <v>-84.713800000000006</v>
      </c>
      <c r="F88">
        <v>45.559800000000003</v>
      </c>
      <c r="G88" t="str">
        <f>VLOOKUP(B88,AMF!$A$2:$G$691,7,FALSE)</f>
        <v>DBF</v>
      </c>
      <c r="H88" t="str">
        <f>VLOOKUP(B88,AMF!$A$2:$I$691,9,FALSE)</f>
        <v>Dfb</v>
      </c>
      <c r="I88" t="s">
        <v>481</v>
      </c>
      <c r="J88" t="str">
        <f t="shared" si="1"/>
        <v>D</v>
      </c>
    </row>
    <row r="89" spans="1:11" x14ac:dyDescent="0.25">
      <c r="A89" s="1">
        <v>87</v>
      </c>
      <c r="B89" t="s">
        <v>90</v>
      </c>
      <c r="C89" t="s">
        <v>254</v>
      </c>
      <c r="D89" s="5" t="s">
        <v>307</v>
      </c>
      <c r="E89">
        <v>-84.697500000000005</v>
      </c>
      <c r="F89">
        <v>45.5625</v>
      </c>
      <c r="G89" t="str">
        <f>VLOOKUP(B89,AMF!$A$2:$G$691,7,FALSE)</f>
        <v>DBF</v>
      </c>
      <c r="H89" t="str">
        <f>VLOOKUP(B89,AMF!$A$2:$I$691,9,FALSE)</f>
        <v>Dfb</v>
      </c>
      <c r="I89" t="s">
        <v>481</v>
      </c>
      <c r="J89" t="str">
        <f t="shared" si="1"/>
        <v>D</v>
      </c>
    </row>
    <row r="90" spans="1:11" x14ac:dyDescent="0.25">
      <c r="A90" s="1">
        <v>88</v>
      </c>
      <c r="B90" t="s">
        <v>91</v>
      </c>
      <c r="C90" t="s">
        <v>272</v>
      </c>
      <c r="D90" s="5" t="s">
        <v>307</v>
      </c>
      <c r="E90">
        <v>-120.9508</v>
      </c>
      <c r="F90">
        <v>38.4133</v>
      </c>
      <c r="G90" t="str">
        <f>VLOOKUP(B90,AMF!$A$2:$G$691,7,FALSE)</f>
        <v>GRA</v>
      </c>
      <c r="H90" t="str">
        <f>VLOOKUP(B90,AMF!$A$2:$I$691,9,FALSE)</f>
        <v>Csa</v>
      </c>
      <c r="I90" t="s">
        <v>632</v>
      </c>
      <c r="J90" t="str">
        <f t="shared" si="1"/>
        <v>C</v>
      </c>
    </row>
    <row r="91" spans="1:11" x14ac:dyDescent="0.25">
      <c r="A91" s="1">
        <v>89</v>
      </c>
      <c r="B91" t="s">
        <v>92</v>
      </c>
      <c r="C91" t="s">
        <v>254</v>
      </c>
      <c r="D91" s="5" t="s">
        <v>307</v>
      </c>
      <c r="E91">
        <v>-106.5321</v>
      </c>
      <c r="F91">
        <v>35.888399999999997</v>
      </c>
      <c r="G91" t="str">
        <f>VLOOKUP(B91,AMF!$A$2:$G$691,7,FALSE)</f>
        <v>ENF</v>
      </c>
      <c r="H91" t="str">
        <f>VLOOKUP(B91,AMF!$A$2:$I$691,9,FALSE)</f>
        <v>Dfb</v>
      </c>
      <c r="I91" t="s">
        <v>481</v>
      </c>
      <c r="J91" t="str">
        <f t="shared" si="1"/>
        <v>D</v>
      </c>
    </row>
    <row r="92" spans="1:11" x14ac:dyDescent="0.25">
      <c r="A92" s="1">
        <v>90</v>
      </c>
      <c r="B92" t="s">
        <v>93</v>
      </c>
      <c r="C92" t="s">
        <v>254</v>
      </c>
      <c r="D92" s="5" t="s">
        <v>307</v>
      </c>
      <c r="E92">
        <v>-106.5967</v>
      </c>
      <c r="F92">
        <v>35.864199999999997</v>
      </c>
      <c r="G92" t="str">
        <f>VLOOKUP(B92,AMF!$A$2:$G$691,7,FALSE)</f>
        <v>ENF</v>
      </c>
      <c r="H92" t="str">
        <f>VLOOKUP(B92,AMF!$A$2:$I$691,9,FALSE)</f>
        <v>Dfb</v>
      </c>
      <c r="I92" t="s">
        <v>481</v>
      </c>
      <c r="J92" t="str">
        <f t="shared" si="1"/>
        <v>D</v>
      </c>
    </row>
    <row r="93" spans="1:11" x14ac:dyDescent="0.25">
      <c r="A93" s="1">
        <v>91</v>
      </c>
      <c r="B93" t="s">
        <v>94</v>
      </c>
      <c r="C93" t="s">
        <v>232</v>
      </c>
      <c r="D93" s="5" t="s">
        <v>307</v>
      </c>
      <c r="E93">
        <v>-110.0522</v>
      </c>
      <c r="F93">
        <v>31.7438</v>
      </c>
      <c r="G93" t="str">
        <f>VLOOKUP(B93,AMF!$A$2:$G$691,7,FALSE)</f>
        <v>OSH</v>
      </c>
      <c r="H93" t="str">
        <f>VLOOKUP(B93,AMF!$A$2:$I$691,9,FALSE)</f>
        <v>Bsk</v>
      </c>
      <c r="I93" t="s">
        <v>3724</v>
      </c>
      <c r="J93" t="str">
        <f t="shared" si="1"/>
        <v>B</v>
      </c>
    </row>
    <row r="94" spans="1:11" x14ac:dyDescent="0.25">
      <c r="A94" s="1">
        <v>92</v>
      </c>
      <c r="B94" t="s">
        <v>95</v>
      </c>
      <c r="C94" t="s">
        <v>273</v>
      </c>
      <c r="D94" s="5" t="s">
        <v>307</v>
      </c>
      <c r="E94">
        <v>-91.081400000000002</v>
      </c>
      <c r="F94">
        <v>46.6188</v>
      </c>
      <c r="G94" t="str">
        <f>VLOOKUP(B94,AMF!$A$2:$G$691,7,FALSE)</f>
        <v>ENF</v>
      </c>
      <c r="H94" t="str">
        <f>VLOOKUP(B94,AMF!$A$2:$I$691,9,FALSE)</f>
        <v>Dfb</v>
      </c>
      <c r="I94" t="s">
        <v>481</v>
      </c>
      <c r="J94" t="str">
        <f t="shared" si="1"/>
        <v>D</v>
      </c>
    </row>
    <row r="95" spans="1:11" x14ac:dyDescent="0.25">
      <c r="A95" s="1">
        <v>93</v>
      </c>
      <c r="B95" t="s">
        <v>96</v>
      </c>
      <c r="C95" t="s">
        <v>254</v>
      </c>
      <c r="D95" s="5" t="s">
        <v>307</v>
      </c>
      <c r="E95">
        <v>-105.86150000000001</v>
      </c>
      <c r="F95">
        <v>34.4255</v>
      </c>
      <c r="G95" t="str">
        <f>VLOOKUP(B95,AMF!$A$2:$G$691,7,FALSE)</f>
        <v>SAV</v>
      </c>
      <c r="H95" t="str">
        <f>VLOOKUP(B95,AMF!$A$2:$I$691,9,FALSE)</f>
        <v>Bsk</v>
      </c>
      <c r="I95" t="s">
        <v>3724</v>
      </c>
      <c r="J95" t="str">
        <f t="shared" si="1"/>
        <v>B</v>
      </c>
    </row>
    <row r="96" spans="1:11" x14ac:dyDescent="0.25">
      <c r="A96" s="1">
        <v>94</v>
      </c>
      <c r="B96" t="s">
        <v>97</v>
      </c>
      <c r="C96" t="s">
        <v>236</v>
      </c>
      <c r="D96" s="5" t="s">
        <v>307</v>
      </c>
      <c r="E96">
        <v>-109.9419</v>
      </c>
      <c r="F96">
        <v>31.736499999999999</v>
      </c>
      <c r="G96" t="str">
        <f>VLOOKUP(B96,AMF!$A$2:$G$691,7,FALSE)</f>
        <v>GRA</v>
      </c>
      <c r="H96" t="str">
        <f>VLOOKUP(B96,AMF!$A$2:$I$691,9,FALSE)</f>
        <v>Bsk</v>
      </c>
      <c r="I96" t="s">
        <v>3724</v>
      </c>
      <c r="J96" t="str">
        <f t="shared" si="1"/>
        <v>B</v>
      </c>
    </row>
    <row r="97" spans="1:10" x14ac:dyDescent="0.25">
      <c r="A97" s="1">
        <v>95</v>
      </c>
      <c r="B97" t="s">
        <v>98</v>
      </c>
      <c r="C97" t="s">
        <v>250</v>
      </c>
      <c r="D97" s="5" t="s">
        <v>307</v>
      </c>
      <c r="E97">
        <v>-122.33029999999999</v>
      </c>
      <c r="F97">
        <v>45.7624</v>
      </c>
      <c r="G97" t="str">
        <f>VLOOKUP(B97,AMF!$A$2:$G$691,7,FALSE)</f>
        <v>ENF</v>
      </c>
      <c r="H97" t="str">
        <f>VLOOKUP(B97,AMF!$A$2:$I$691,9,FALSE)</f>
        <v>Csb</v>
      </c>
      <c r="I97" t="s">
        <v>573</v>
      </c>
      <c r="J97" t="str">
        <f t="shared" si="1"/>
        <v>C</v>
      </c>
    </row>
    <row r="98" spans="1:10" x14ac:dyDescent="0.25">
      <c r="A98" s="1">
        <v>96</v>
      </c>
      <c r="B98" t="s">
        <v>99</v>
      </c>
      <c r="C98" t="s">
        <v>238</v>
      </c>
      <c r="D98" s="5" t="s">
        <v>307</v>
      </c>
      <c r="E98">
        <v>-99.058800000000005</v>
      </c>
      <c r="F98">
        <v>35.410600000000002</v>
      </c>
      <c r="G98" t="str">
        <f>VLOOKUP(B98,AMF!$A$2:$G$691,7,FALSE)</f>
        <v>GRA</v>
      </c>
      <c r="H98" t="str">
        <f>VLOOKUP(B98,AMF!$A$2:$I$691,9,FALSE)</f>
        <v>Cfa</v>
      </c>
      <c r="I98" t="s">
        <v>360</v>
      </c>
      <c r="J98" t="str">
        <f t="shared" si="1"/>
        <v>C</v>
      </c>
    </row>
    <row r="99" spans="1:10" x14ac:dyDescent="0.25">
      <c r="A99" s="1">
        <v>97</v>
      </c>
      <c r="B99" t="s">
        <v>100</v>
      </c>
      <c r="C99" t="s">
        <v>250</v>
      </c>
      <c r="D99" s="5" t="s">
        <v>307</v>
      </c>
      <c r="E99">
        <v>-156.61940000000001</v>
      </c>
      <c r="F99">
        <v>71.282399999999996</v>
      </c>
      <c r="G99" t="str">
        <f>VLOOKUP(B99,AMF!$A$2:$G$691,7,FALSE)</f>
        <v>WET</v>
      </c>
      <c r="H99" t="str">
        <f>VLOOKUP(B99,AMF!$A$2:$I$691,9,FALSE)</f>
        <v>ET</v>
      </c>
      <c r="I99" t="s">
        <v>680</v>
      </c>
      <c r="J99" t="str">
        <f t="shared" si="1"/>
        <v>E</v>
      </c>
    </row>
    <row r="100" spans="1:10" x14ac:dyDescent="0.25">
      <c r="A100" s="1">
        <v>98</v>
      </c>
      <c r="B100" t="s">
        <v>101</v>
      </c>
      <c r="C100" t="s">
        <v>250</v>
      </c>
      <c r="D100" s="5" t="s">
        <v>307</v>
      </c>
      <c r="E100">
        <v>-78.071600000000004</v>
      </c>
      <c r="F100">
        <v>39.060299999999998</v>
      </c>
      <c r="G100" t="str">
        <f>VLOOKUP(B100,AMF!$A$2:$G$691,7,FALSE)</f>
        <v>DBF</v>
      </c>
      <c r="H100" t="str">
        <f>VLOOKUP(B100,AMF!$A$2:$I$691,9,FALSE)</f>
        <v>Cfa</v>
      </c>
      <c r="I100" t="s">
        <v>360</v>
      </c>
      <c r="J100" t="str">
        <f t="shared" si="1"/>
        <v>C</v>
      </c>
    </row>
    <row r="101" spans="1:10" x14ac:dyDescent="0.25">
      <c r="A101" s="1">
        <v>99</v>
      </c>
      <c r="B101" t="s">
        <v>102</v>
      </c>
      <c r="C101" t="s">
        <v>250</v>
      </c>
      <c r="D101" s="5" t="s">
        <v>307</v>
      </c>
      <c r="E101">
        <v>-147.5026</v>
      </c>
      <c r="F101">
        <v>65.153999999999996</v>
      </c>
      <c r="G101" t="str">
        <f>VLOOKUP(B101,AMF!$A$2:$G$691,7,FALSE)</f>
        <v>ENF</v>
      </c>
      <c r="H101" t="str">
        <f>VLOOKUP(B101,AMF!$A$2:$I$691,9,FALSE)</f>
        <v>Dwc</v>
      </c>
      <c r="I101" t="s">
        <v>539</v>
      </c>
      <c r="J101" t="str">
        <f t="shared" si="1"/>
        <v>D</v>
      </c>
    </row>
    <row r="102" spans="1:10" x14ac:dyDescent="0.25">
      <c r="A102" s="1">
        <v>100</v>
      </c>
      <c r="B102" t="s">
        <v>103</v>
      </c>
      <c r="C102" t="s">
        <v>238</v>
      </c>
      <c r="D102" s="5" t="s">
        <v>307</v>
      </c>
      <c r="E102">
        <v>-71.287300000000002</v>
      </c>
      <c r="F102">
        <v>44.063899999999997</v>
      </c>
      <c r="G102" t="str">
        <f>VLOOKUP(B102,AMF!$A$2:$G$691,7,FALSE)</f>
        <v>DBF</v>
      </c>
      <c r="H102" t="str">
        <f>VLOOKUP(B102,AMF!$A$2:$I$691,9,FALSE)</f>
        <v>Dfb</v>
      </c>
      <c r="I102" t="s">
        <v>481</v>
      </c>
      <c r="J102" t="str">
        <f t="shared" si="1"/>
        <v>D</v>
      </c>
    </row>
    <row r="103" spans="1:10" x14ac:dyDescent="0.25">
      <c r="A103" s="1">
        <v>101</v>
      </c>
      <c r="B103" t="s">
        <v>104</v>
      </c>
      <c r="C103" t="s">
        <v>238</v>
      </c>
      <c r="D103" s="5" t="s">
        <v>307</v>
      </c>
      <c r="E103">
        <v>-97.57</v>
      </c>
      <c r="F103">
        <v>33.401200000000003</v>
      </c>
      <c r="G103" t="str">
        <f>VLOOKUP(B103,AMF!$A$2:$G$691,7,FALSE)</f>
        <v>GRA</v>
      </c>
      <c r="H103" t="str">
        <f>VLOOKUP(B103,AMF!$A$2:$I$691,9,FALSE)</f>
        <v>Cfa</v>
      </c>
      <c r="I103" t="s">
        <v>360</v>
      </c>
      <c r="J103" t="str">
        <f t="shared" si="1"/>
        <v>C</v>
      </c>
    </row>
    <row r="104" spans="1:10" x14ac:dyDescent="0.25">
      <c r="A104" s="1">
        <v>102</v>
      </c>
      <c r="B104" t="s">
        <v>105</v>
      </c>
      <c r="C104" t="s">
        <v>237</v>
      </c>
      <c r="D104" s="5" t="s">
        <v>307</v>
      </c>
      <c r="E104">
        <v>-104.7456</v>
      </c>
      <c r="F104">
        <v>40.8155</v>
      </c>
      <c r="G104" t="str">
        <f>VLOOKUP(B104,AMF!$A$2:$G$691,7,FALSE)</f>
        <v>GRA</v>
      </c>
      <c r="H104" t="str">
        <f>VLOOKUP(B104,AMF!$A$2:$I$691,9,FALSE)</f>
        <v>Bsk</v>
      </c>
      <c r="I104" t="s">
        <v>3724</v>
      </c>
      <c r="J104" t="str">
        <f t="shared" si="1"/>
        <v>B</v>
      </c>
    </row>
    <row r="105" spans="1:10" x14ac:dyDescent="0.25">
      <c r="A105" s="1">
        <v>103</v>
      </c>
      <c r="B105" t="s">
        <v>106</v>
      </c>
      <c r="C105" t="s">
        <v>238</v>
      </c>
      <c r="D105" s="5" t="s">
        <v>307</v>
      </c>
      <c r="E105">
        <v>-99.1066</v>
      </c>
      <c r="F105">
        <v>47.161700000000003</v>
      </c>
      <c r="G105" t="str">
        <f>VLOOKUP(B105,AMF!$A$2:$G$691,7,FALSE)</f>
        <v>GRA</v>
      </c>
      <c r="H105" t="str">
        <f>VLOOKUP(B105,AMF!$A$2:$I$691,9,FALSE)</f>
        <v>Dfb</v>
      </c>
      <c r="I105" t="s">
        <v>2076</v>
      </c>
      <c r="J105" t="str">
        <f t="shared" si="1"/>
        <v>D</v>
      </c>
    </row>
    <row r="106" spans="1:10" x14ac:dyDescent="0.25">
      <c r="A106" s="1">
        <v>104</v>
      </c>
      <c r="B106" t="s">
        <v>107</v>
      </c>
      <c r="C106" t="s">
        <v>250</v>
      </c>
      <c r="D106" s="5" t="s">
        <v>307</v>
      </c>
      <c r="E106">
        <v>-145.75139999999999</v>
      </c>
      <c r="F106">
        <v>63.881100000000004</v>
      </c>
      <c r="G106" t="str">
        <f>VLOOKUP(B106,AMF!$A$2:$G$691,7,FALSE)</f>
        <v>ENF</v>
      </c>
      <c r="H106" t="str">
        <f>VLOOKUP(B106,AMF!$A$2:$I$691,9,FALSE)</f>
        <v>Dfc</v>
      </c>
      <c r="I106" t="s">
        <v>1581</v>
      </c>
      <c r="J106" t="str">
        <f t="shared" si="1"/>
        <v>D</v>
      </c>
    </row>
    <row r="107" spans="1:10" x14ac:dyDescent="0.25">
      <c r="A107" s="1">
        <v>105</v>
      </c>
      <c r="B107" t="s">
        <v>108</v>
      </c>
      <c r="C107" t="s">
        <v>238</v>
      </c>
      <c r="D107" s="5" t="s">
        <v>307</v>
      </c>
      <c r="E107">
        <v>-87.803899999999999</v>
      </c>
      <c r="F107">
        <v>32.541699999999999</v>
      </c>
      <c r="G107" t="str">
        <f>VLOOKUP(B107,AMF!$A$2:$G$691,7,FALSE)</f>
        <v>MF</v>
      </c>
      <c r="H107" t="str">
        <f>VLOOKUP(B107,AMF!$A$2:$I$691,9,FALSE)</f>
        <v>Cfa</v>
      </c>
      <c r="I107" t="s">
        <v>360</v>
      </c>
      <c r="J107" t="str">
        <f t="shared" si="1"/>
        <v>C</v>
      </c>
    </row>
    <row r="108" spans="1:10" x14ac:dyDescent="0.25">
      <c r="A108" s="1">
        <v>106</v>
      </c>
      <c r="B108" t="s">
        <v>109</v>
      </c>
      <c r="C108" t="s">
        <v>238</v>
      </c>
      <c r="D108" s="5" t="s">
        <v>307</v>
      </c>
      <c r="E108">
        <v>-81.436199999999999</v>
      </c>
      <c r="F108">
        <v>28.125</v>
      </c>
      <c r="G108" t="str">
        <f>VLOOKUP(B108,AMF!$A$2:$G$691,7,FALSE)</f>
        <v>CVM</v>
      </c>
      <c r="H108" t="str">
        <f>VLOOKUP(B108,AMF!$A$2:$I$691,9,FALSE)</f>
        <v>Cfa</v>
      </c>
      <c r="I108" t="s">
        <v>360</v>
      </c>
      <c r="J108" t="str">
        <f t="shared" si="1"/>
        <v>C</v>
      </c>
    </row>
    <row r="109" spans="1:10" x14ac:dyDescent="0.25">
      <c r="A109" s="1">
        <v>107</v>
      </c>
      <c r="B109" t="s">
        <v>110</v>
      </c>
      <c r="C109" t="s">
        <v>238</v>
      </c>
      <c r="D109" s="5" t="s">
        <v>307</v>
      </c>
      <c r="E109">
        <v>-83.501900000000006</v>
      </c>
      <c r="F109">
        <v>35.689</v>
      </c>
      <c r="G109" t="str">
        <f>VLOOKUP(B109,AMF!$A$2:$G$691,7,FALSE)</f>
        <v>DBF</v>
      </c>
      <c r="H109" t="str">
        <f>VLOOKUP(B109,AMF!$A$2:$I$691,9,FALSE)</f>
        <v>Cfa</v>
      </c>
      <c r="I109" t="s">
        <v>360</v>
      </c>
      <c r="J109" t="str">
        <f t="shared" si="1"/>
        <v>C</v>
      </c>
    </row>
    <row r="110" spans="1:10" x14ac:dyDescent="0.25">
      <c r="A110" s="1">
        <v>108</v>
      </c>
      <c r="B110" t="s">
        <v>111</v>
      </c>
      <c r="C110" t="s">
        <v>238</v>
      </c>
      <c r="D110" s="5" t="s">
        <v>307</v>
      </c>
      <c r="E110">
        <v>-72.172700000000006</v>
      </c>
      <c r="F110">
        <v>42.536900000000003</v>
      </c>
      <c r="G110" t="str">
        <f>VLOOKUP(B110,AMF!$A$2:$G$691,7,FALSE)</f>
        <v>DBF</v>
      </c>
      <c r="H110" t="str">
        <f>VLOOKUP(B110,AMF!$A$2:$I$691,9,FALSE)</f>
        <v>Dfb</v>
      </c>
      <c r="I110" t="s">
        <v>481</v>
      </c>
      <c r="J110" t="str">
        <f t="shared" si="1"/>
        <v>D</v>
      </c>
    </row>
    <row r="111" spans="1:10" x14ac:dyDescent="0.25">
      <c r="A111" s="1">
        <v>109</v>
      </c>
      <c r="B111" t="s">
        <v>112</v>
      </c>
      <c r="C111" t="s">
        <v>238</v>
      </c>
      <c r="D111" s="5" t="s">
        <v>307</v>
      </c>
      <c r="E111">
        <v>-149.2133</v>
      </c>
      <c r="F111">
        <v>63.875700000000002</v>
      </c>
      <c r="G111" t="str">
        <f>VLOOKUP(B111,AMF!$A$2:$G$691,7,FALSE)</f>
        <v>OSH</v>
      </c>
      <c r="H111" t="str">
        <f>VLOOKUP(B111,AMF!$A$2:$I$691,9,FALSE)</f>
        <v>ET</v>
      </c>
      <c r="I111" t="s">
        <v>539</v>
      </c>
      <c r="J111" t="str">
        <f t="shared" si="1"/>
        <v>D</v>
      </c>
    </row>
    <row r="112" spans="1:10" x14ac:dyDescent="0.25">
      <c r="A112" s="1">
        <v>110</v>
      </c>
      <c r="B112" t="s">
        <v>113</v>
      </c>
      <c r="C112" t="s">
        <v>238</v>
      </c>
      <c r="D112" s="5" t="s">
        <v>307</v>
      </c>
      <c r="E112">
        <v>-84.468599999999995</v>
      </c>
      <c r="F112">
        <v>31.194800000000001</v>
      </c>
      <c r="G112" t="str">
        <f>VLOOKUP(B112,AMF!$A$2:$G$691,7,FALSE)</f>
        <v>ENF</v>
      </c>
      <c r="H112" t="str">
        <f>VLOOKUP(B112,AMF!$A$2:$I$691,9,FALSE)</f>
        <v>Cfa</v>
      </c>
      <c r="I112" t="s">
        <v>360</v>
      </c>
      <c r="J112" t="str">
        <f t="shared" si="1"/>
        <v>C</v>
      </c>
    </row>
    <row r="113" spans="1:11" x14ac:dyDescent="0.25">
      <c r="A113" s="1">
        <v>111</v>
      </c>
      <c r="B113" t="s">
        <v>114</v>
      </c>
      <c r="C113" t="s">
        <v>250</v>
      </c>
      <c r="D113" s="5" t="s">
        <v>307</v>
      </c>
      <c r="E113">
        <v>-106.8425</v>
      </c>
      <c r="F113">
        <v>32.590699999999998</v>
      </c>
      <c r="G113" t="str">
        <f>VLOOKUP(B113,AMF!$A$2:$G$691,7,FALSE)</f>
        <v>OSH</v>
      </c>
      <c r="H113" t="str">
        <f>VLOOKUP(B113,AMF!$A$2:$I$691,9,FALSE)</f>
        <v>Bsk</v>
      </c>
      <c r="I113" t="s">
        <v>3715</v>
      </c>
      <c r="J113" t="str">
        <f t="shared" si="1"/>
        <v>B</v>
      </c>
    </row>
    <row r="114" spans="1:11" x14ac:dyDescent="0.25">
      <c r="A114" s="1">
        <v>112</v>
      </c>
      <c r="B114" t="s">
        <v>115</v>
      </c>
      <c r="C114" t="s">
        <v>238</v>
      </c>
      <c r="D114" s="5" t="s">
        <v>307</v>
      </c>
      <c r="E114">
        <v>-96.612899999999996</v>
      </c>
      <c r="F114">
        <v>39.110399999999998</v>
      </c>
      <c r="G114" t="str">
        <f>VLOOKUP(B114,AMF!$A$2:$G$691,7,FALSE)</f>
        <v>GRA</v>
      </c>
      <c r="H114" t="str">
        <f>VLOOKUP(B114,AMF!$A$2:$I$691,9,FALSE)</f>
        <v>Cfa</v>
      </c>
      <c r="I114" t="s">
        <v>1175</v>
      </c>
      <c r="J114" t="str">
        <f t="shared" si="1"/>
        <v>D</v>
      </c>
    </row>
    <row r="115" spans="1:11" x14ac:dyDescent="0.25">
      <c r="A115" s="1">
        <v>113</v>
      </c>
      <c r="B115" t="s">
        <v>116</v>
      </c>
      <c r="C115" t="s">
        <v>238</v>
      </c>
      <c r="D115" s="5" t="s">
        <v>307</v>
      </c>
      <c r="E115">
        <v>-96.563100000000006</v>
      </c>
      <c r="F115">
        <v>39.1008</v>
      </c>
      <c r="G115" t="str">
        <f>VLOOKUP(B115,AMF!$A$2:$G$691,7,FALSE)</f>
        <v>GRA</v>
      </c>
      <c r="H115" t="str">
        <f>VLOOKUP(B115,AMF!$A$2:$I$691,9,FALSE)</f>
        <v>Cfa</v>
      </c>
      <c r="I115" t="s">
        <v>1175</v>
      </c>
      <c r="J115" t="str">
        <f t="shared" si="1"/>
        <v>D</v>
      </c>
    </row>
    <row r="116" spans="1:11" x14ac:dyDescent="0.25">
      <c r="A116" s="1">
        <v>114</v>
      </c>
      <c r="B116" t="s">
        <v>117</v>
      </c>
      <c r="C116" t="s">
        <v>238</v>
      </c>
      <c r="D116" s="5" t="s">
        <v>307</v>
      </c>
      <c r="E116">
        <v>-109.3883</v>
      </c>
      <c r="F116">
        <v>38.2483</v>
      </c>
      <c r="G116" t="str">
        <f>VLOOKUP(B116,AMF!$A$2:$G$691,7,FALSE)</f>
        <v>OSH</v>
      </c>
      <c r="H116" t="str">
        <f>VLOOKUP(B116,AMF!$A$2:$I$691,9,FALSE)</f>
        <v>Bsk</v>
      </c>
      <c r="I116" t="s">
        <v>3724</v>
      </c>
      <c r="J116" t="str">
        <f t="shared" si="1"/>
        <v>B</v>
      </c>
    </row>
    <row r="117" spans="1:11" x14ac:dyDescent="0.25">
      <c r="A117" s="1">
        <v>115</v>
      </c>
      <c r="B117" t="s">
        <v>118</v>
      </c>
      <c r="C117" t="s">
        <v>238</v>
      </c>
      <c r="D117" s="5" t="s">
        <v>307</v>
      </c>
      <c r="E117">
        <v>-80.524799999999999</v>
      </c>
      <c r="F117">
        <v>37.378300000000003</v>
      </c>
      <c r="G117" t="str">
        <f>VLOOKUP(B117,AMF!$A$2:$G$691,7,FALSE)</f>
        <v>DBF</v>
      </c>
      <c r="H117" t="str">
        <f>VLOOKUP(B117,AMF!$A$2:$I$691,9,FALSE)</f>
        <v>Dfb</v>
      </c>
      <c r="I117" t="s">
        <v>481</v>
      </c>
      <c r="J117" t="str">
        <f t="shared" si="1"/>
        <v>D</v>
      </c>
    </row>
    <row r="118" spans="1:11" x14ac:dyDescent="0.25">
      <c r="A118" s="1">
        <v>116</v>
      </c>
      <c r="B118" t="s">
        <v>119</v>
      </c>
      <c r="C118" t="s">
        <v>238</v>
      </c>
      <c r="D118" s="5" t="s">
        <v>307</v>
      </c>
      <c r="E118">
        <v>-100.91540000000001</v>
      </c>
      <c r="F118">
        <v>46.7697</v>
      </c>
      <c r="G118" t="str">
        <f>VLOOKUP(B118,AMF!$A$2:$G$691,7,FALSE)</f>
        <v>GRA</v>
      </c>
      <c r="H118" t="str">
        <f>VLOOKUP(B118,AMF!$A$2:$I$691,9,FALSE)</f>
        <v>Dfb</v>
      </c>
      <c r="I118" t="s">
        <v>481</v>
      </c>
      <c r="J118" t="str">
        <f t="shared" si="1"/>
        <v>D</v>
      </c>
    </row>
    <row r="119" spans="1:11" x14ac:dyDescent="0.25">
      <c r="A119" s="1">
        <v>117</v>
      </c>
      <c r="B119" t="s">
        <v>120</v>
      </c>
      <c r="C119" t="s">
        <v>238</v>
      </c>
      <c r="D119" s="5" t="s">
        <v>307</v>
      </c>
      <c r="E119">
        <v>-112.4524</v>
      </c>
      <c r="F119">
        <v>40.177599999999998</v>
      </c>
      <c r="G119" t="str">
        <f>VLOOKUP(B119,AMF!$A$2:$G$691,7,FALSE)</f>
        <v>OSH</v>
      </c>
      <c r="H119" t="str">
        <f>VLOOKUP(B119,AMF!$A$2:$I$691,9,FALSE)</f>
        <v>Dfb</v>
      </c>
      <c r="I119" t="s">
        <v>3724</v>
      </c>
      <c r="J119" t="str">
        <f t="shared" si="1"/>
        <v>B</v>
      </c>
    </row>
    <row r="120" spans="1:11" x14ac:dyDescent="0.25">
      <c r="A120" s="1">
        <v>118</v>
      </c>
      <c r="B120" t="s">
        <v>121</v>
      </c>
      <c r="C120" t="s">
        <v>238</v>
      </c>
      <c r="D120" s="5" t="s">
        <v>307</v>
      </c>
      <c r="E120">
        <v>-105.5459</v>
      </c>
      <c r="F120">
        <v>40.2759</v>
      </c>
      <c r="G120" t="str">
        <f>VLOOKUP(B120,AMF!$A$2:$G$691,7,FALSE)</f>
        <v>ENF</v>
      </c>
      <c r="H120" t="str">
        <f>VLOOKUP(B120,AMF!$A$2:$I$691,9,FALSE)</f>
        <v>Dfc</v>
      </c>
      <c r="I120" t="s">
        <v>539</v>
      </c>
      <c r="J120" t="str">
        <f t="shared" si="1"/>
        <v>D</v>
      </c>
    </row>
    <row r="121" spans="1:11" x14ac:dyDescent="0.25">
      <c r="A121" s="1">
        <v>119</v>
      </c>
      <c r="B121" t="s">
        <v>122</v>
      </c>
      <c r="C121" t="s">
        <v>238</v>
      </c>
      <c r="D121" s="5" t="s">
        <v>307</v>
      </c>
      <c r="E121">
        <v>-81.993399999999994</v>
      </c>
      <c r="F121">
        <v>29.689299999999999</v>
      </c>
      <c r="G121" t="str">
        <f>VLOOKUP(B121,AMF!$A$2:$G$691,7,FALSE)</f>
        <v>ENF</v>
      </c>
      <c r="H121" t="str">
        <f>VLOOKUP(B121,AMF!$A$2:$I$691,9,FALSE)</f>
        <v>Cfa</v>
      </c>
      <c r="I121" t="s">
        <v>360</v>
      </c>
      <c r="J121" t="str">
        <f t="shared" si="1"/>
        <v>C</v>
      </c>
    </row>
    <row r="122" spans="1:11" x14ac:dyDescent="0.25">
      <c r="A122" s="1">
        <v>120</v>
      </c>
      <c r="B122" t="s">
        <v>123</v>
      </c>
      <c r="C122" t="s">
        <v>250</v>
      </c>
      <c r="D122" s="5" t="s">
        <v>307</v>
      </c>
      <c r="E122">
        <v>-78.139499999999998</v>
      </c>
      <c r="F122">
        <v>38.892899999999997</v>
      </c>
      <c r="G122" t="str">
        <f>VLOOKUP(B122,AMF!$A$2:$G$691,7,FALSE)</f>
        <v>DBF</v>
      </c>
      <c r="H122" t="str">
        <f>VLOOKUP(B122,AMF!$A$2:$I$691,9,FALSE)</f>
        <v>Cfa</v>
      </c>
      <c r="I122" t="s">
        <v>360</v>
      </c>
      <c r="J122" t="str">
        <f t="shared" si="1"/>
        <v>C</v>
      </c>
    </row>
    <row r="123" spans="1:11" x14ac:dyDescent="0.25">
      <c r="A123" s="1">
        <v>121</v>
      </c>
      <c r="B123" t="s">
        <v>124</v>
      </c>
      <c r="C123" t="s">
        <v>238</v>
      </c>
      <c r="D123" s="5" t="s">
        <v>307</v>
      </c>
      <c r="E123">
        <v>-76.56</v>
      </c>
      <c r="F123">
        <v>38.890099999999997</v>
      </c>
      <c r="G123" t="str">
        <f>VLOOKUP(B123,AMF!$A$2:$G$691,7,FALSE)</f>
        <v>DBF</v>
      </c>
      <c r="H123" t="str">
        <f>VLOOKUP(B123,AMF!$A$2:$I$691,9,FALSE)</f>
        <v>Cfa</v>
      </c>
      <c r="I123" t="s">
        <v>360</v>
      </c>
      <c r="J123" t="str">
        <f t="shared" si="1"/>
        <v>C</v>
      </c>
    </row>
    <row r="124" spans="1:11" x14ac:dyDescent="0.25">
      <c r="A124" s="1">
        <v>122</v>
      </c>
      <c r="B124" t="s">
        <v>125</v>
      </c>
      <c r="C124" t="s">
        <v>250</v>
      </c>
      <c r="D124" s="5" t="s">
        <v>307</v>
      </c>
      <c r="E124">
        <v>-119.7323</v>
      </c>
      <c r="F124">
        <v>37.108800000000002</v>
      </c>
      <c r="G124" t="str">
        <f>VLOOKUP(B124,AMF!$A$2:$G$691,7,FALSE)</f>
        <v>SAV</v>
      </c>
      <c r="H124" t="str">
        <f>VLOOKUP(B124,AMF!$A$2:$I$691,9,FALSE)</f>
        <v>Csa</v>
      </c>
      <c r="I124" t="s">
        <v>632</v>
      </c>
      <c r="J124" t="str">
        <f t="shared" si="1"/>
        <v>C</v>
      </c>
    </row>
    <row r="125" spans="1:11" x14ac:dyDescent="0.25">
      <c r="A125" s="1">
        <v>123</v>
      </c>
      <c r="B125" t="s">
        <v>126</v>
      </c>
      <c r="C125" t="s">
        <v>250</v>
      </c>
      <c r="D125" s="5" t="s">
        <v>307</v>
      </c>
      <c r="E125">
        <v>-103.02930000000001</v>
      </c>
      <c r="F125">
        <v>40.4619</v>
      </c>
      <c r="G125" t="str">
        <f>VLOOKUP(B125,AMF!$A$2:$G$691,7,FALSE)</f>
        <v>CRO</v>
      </c>
      <c r="H125" t="str">
        <f>VLOOKUP(B125,AMF!$A$2:$I$691,9,FALSE)</f>
        <v>Bsk</v>
      </c>
      <c r="I125" t="s">
        <v>3724</v>
      </c>
      <c r="J125" t="str">
        <f t="shared" si="1"/>
        <v>B</v>
      </c>
      <c r="K125" t="s">
        <v>3785</v>
      </c>
    </row>
    <row r="126" spans="1:11" x14ac:dyDescent="0.25">
      <c r="A126" s="1">
        <v>124</v>
      </c>
      <c r="B126" t="s">
        <v>127</v>
      </c>
      <c r="C126" t="s">
        <v>238</v>
      </c>
      <c r="D126" s="5" t="s">
        <v>307</v>
      </c>
      <c r="E126">
        <v>-110.8355</v>
      </c>
      <c r="F126">
        <v>31.910699999999999</v>
      </c>
      <c r="G126" t="str">
        <f>VLOOKUP(B126,AMF!$A$2:$G$691,7,FALSE)</f>
        <v>OSH</v>
      </c>
      <c r="H126" t="str">
        <f>VLOOKUP(B126,AMF!$A$2:$I$691,9,FALSE)</f>
        <v>Bsk</v>
      </c>
      <c r="I126" t="s">
        <v>3721</v>
      </c>
      <c r="J126" t="str">
        <f t="shared" si="1"/>
        <v>B</v>
      </c>
    </row>
    <row r="127" spans="1:11" x14ac:dyDescent="0.25">
      <c r="A127" s="1">
        <v>125</v>
      </c>
      <c r="B127" t="s">
        <v>128</v>
      </c>
      <c r="C127" t="s">
        <v>238</v>
      </c>
      <c r="D127" s="5" t="s">
        <v>307</v>
      </c>
      <c r="E127">
        <v>-89.586399999999998</v>
      </c>
      <c r="F127">
        <v>45.508899999999997</v>
      </c>
      <c r="G127" t="str">
        <f>VLOOKUP(B127,AMF!$A$2:$G$691,7,FALSE)</f>
        <v>DBF</v>
      </c>
      <c r="H127" t="str">
        <f>VLOOKUP(B127,AMF!$A$2:$I$691,9,FALSE)</f>
        <v>Dfb</v>
      </c>
      <c r="I127" t="s">
        <v>481</v>
      </c>
      <c r="J127" t="str">
        <f t="shared" si="1"/>
        <v>D</v>
      </c>
    </row>
    <row r="128" spans="1:11" x14ac:dyDescent="0.25">
      <c r="A128" s="1">
        <v>126</v>
      </c>
      <c r="B128" t="s">
        <v>129</v>
      </c>
      <c r="C128" t="s">
        <v>238</v>
      </c>
      <c r="D128" s="5" t="s">
        <v>307</v>
      </c>
      <c r="E128">
        <v>-87.393299999999996</v>
      </c>
      <c r="F128">
        <v>32.950499999999998</v>
      </c>
      <c r="G128" t="str">
        <f>VLOOKUP(B128,AMF!$A$2:$G$691,7,FALSE)</f>
        <v>ENF</v>
      </c>
      <c r="H128" t="str">
        <f>VLOOKUP(B128,AMF!$A$2:$I$691,9,FALSE)</f>
        <v>Cfa</v>
      </c>
      <c r="I128" t="s">
        <v>360</v>
      </c>
      <c r="J128" t="str">
        <f t="shared" si="1"/>
        <v>C</v>
      </c>
    </row>
    <row r="129" spans="1:11" x14ac:dyDescent="0.25">
      <c r="A129" s="1">
        <v>127</v>
      </c>
      <c r="B129" t="s">
        <v>130</v>
      </c>
      <c r="C129" t="s">
        <v>238</v>
      </c>
      <c r="D129" s="5" t="s">
        <v>307</v>
      </c>
      <c r="E129">
        <v>-89.585700000000003</v>
      </c>
      <c r="F129">
        <v>45.493699999999997</v>
      </c>
      <c r="G129" t="str">
        <f>VLOOKUP(B129,AMF!$A$2:$G$691,7,FALSE)</f>
        <v>DBF</v>
      </c>
      <c r="H129" t="str">
        <f>VLOOKUP(B129,AMF!$A$2:$I$691,9,FALSE)</f>
        <v>Dfb</v>
      </c>
      <c r="I129" t="s">
        <v>481</v>
      </c>
      <c r="J129" t="str">
        <f t="shared" si="1"/>
        <v>D</v>
      </c>
    </row>
    <row r="130" spans="1:11" x14ac:dyDescent="0.25">
      <c r="A130" s="1">
        <v>128</v>
      </c>
      <c r="B130" t="s">
        <v>131</v>
      </c>
      <c r="C130" t="s">
        <v>238</v>
      </c>
      <c r="D130" s="5" t="s">
        <v>307</v>
      </c>
      <c r="E130">
        <v>-95.192099999999996</v>
      </c>
      <c r="F130">
        <v>39.040399999999998</v>
      </c>
      <c r="G130" t="str">
        <f>VLOOKUP(B130,AMF!$A$2:$G$691,7,FALSE)</f>
        <v>DBF</v>
      </c>
      <c r="H130" t="str">
        <f>VLOOKUP(B130,AMF!$A$2:$I$691,9,FALSE)</f>
        <v>Cfa</v>
      </c>
      <c r="I130" t="s">
        <v>1175</v>
      </c>
      <c r="J130" t="str">
        <f t="shared" si="1"/>
        <v>D</v>
      </c>
    </row>
    <row r="131" spans="1:11" x14ac:dyDescent="0.25">
      <c r="A131" s="1">
        <v>129</v>
      </c>
      <c r="B131" t="s">
        <v>132</v>
      </c>
      <c r="C131" t="s">
        <v>238</v>
      </c>
      <c r="D131" s="5" t="s">
        <v>307</v>
      </c>
      <c r="E131">
        <v>-89.537300000000002</v>
      </c>
      <c r="F131">
        <v>46.233899999999998</v>
      </c>
      <c r="G131" t="str">
        <f>VLOOKUP(B131,AMF!$A$2:$G$691,7,FALSE)</f>
        <v>MF</v>
      </c>
      <c r="H131" t="str">
        <f>VLOOKUP(B131,AMF!$A$2:$I$691,9,FALSE)</f>
        <v>Dfb</v>
      </c>
      <c r="I131" t="s">
        <v>481</v>
      </c>
      <c r="J131" t="str">
        <f t="shared" ref="J131:J194" si="2">LEFT(I131,1)</f>
        <v>D</v>
      </c>
    </row>
    <row r="132" spans="1:11" x14ac:dyDescent="0.25">
      <c r="A132" s="1">
        <v>130</v>
      </c>
      <c r="B132" t="s">
        <v>133</v>
      </c>
      <c r="C132" t="s">
        <v>250</v>
      </c>
      <c r="D132" s="5" t="s">
        <v>307</v>
      </c>
      <c r="E132">
        <v>-99.241399999999999</v>
      </c>
      <c r="F132">
        <v>47.1282</v>
      </c>
      <c r="G132" t="str">
        <f>VLOOKUP(B132,AMF!$A$2:$G$691,7,FALSE)</f>
        <v>GRA</v>
      </c>
      <c r="H132" t="str">
        <f>VLOOKUP(B132,AMF!$A$2:$I$691,9,FALSE)</f>
        <v>Dfb</v>
      </c>
      <c r="I132" t="s">
        <v>2076</v>
      </c>
      <c r="J132" t="str">
        <f t="shared" si="2"/>
        <v>D</v>
      </c>
    </row>
    <row r="133" spans="1:11" x14ac:dyDescent="0.25">
      <c r="A133" s="1">
        <v>131</v>
      </c>
      <c r="B133" t="s">
        <v>134</v>
      </c>
      <c r="C133" t="s">
        <v>241</v>
      </c>
      <c r="D133" s="5" t="s">
        <v>307</v>
      </c>
      <c r="E133">
        <v>-110.5391</v>
      </c>
      <c r="F133">
        <v>44.953499999999998</v>
      </c>
      <c r="G133" t="str">
        <f>VLOOKUP(B133,AMF!$A$2:$G$691,7,FALSE)</f>
        <v>ENF</v>
      </c>
      <c r="H133" t="str">
        <f>VLOOKUP(B133,AMF!$A$2:$I$691,9,FALSE)</f>
        <v>Dfc</v>
      </c>
      <c r="I133" t="s">
        <v>481</v>
      </c>
      <c r="J133" t="str">
        <f t="shared" si="2"/>
        <v>D</v>
      </c>
    </row>
    <row r="134" spans="1:11" x14ac:dyDescent="0.25">
      <c r="A134" s="1">
        <v>132</v>
      </c>
      <c r="B134" t="s">
        <v>135</v>
      </c>
      <c r="C134" t="s">
        <v>274</v>
      </c>
      <c r="D134" s="6" t="s">
        <v>308</v>
      </c>
      <c r="E134">
        <v>131.11779999999999</v>
      </c>
      <c r="F134">
        <v>-13.0769</v>
      </c>
      <c r="G134" s="48" t="s">
        <v>1436</v>
      </c>
      <c r="I134" t="s">
        <v>408</v>
      </c>
      <c r="J134" t="str">
        <f t="shared" si="2"/>
        <v>A</v>
      </c>
    </row>
    <row r="135" spans="1:11" x14ac:dyDescent="0.25">
      <c r="A135" s="1">
        <v>133</v>
      </c>
      <c r="B135" t="s">
        <v>136</v>
      </c>
      <c r="C135" t="s">
        <v>275</v>
      </c>
      <c r="D135" s="6" t="s">
        <v>308</v>
      </c>
      <c r="E135">
        <v>133.24930000000001</v>
      </c>
      <c r="F135">
        <v>-22.282800000000002</v>
      </c>
      <c r="G135" t="str">
        <f>VLOOKUP(B135,FLUXNET2015!$A$3:$H$269,8,FALSE)</f>
        <v>SAV</v>
      </c>
      <c r="I135" t="s">
        <v>3715</v>
      </c>
      <c r="J135" t="str">
        <f t="shared" si="2"/>
        <v>B</v>
      </c>
    </row>
    <row r="136" spans="1:11" x14ac:dyDescent="0.25">
      <c r="A136" s="1">
        <v>134</v>
      </c>
      <c r="B136" t="s">
        <v>137</v>
      </c>
      <c r="C136" t="s">
        <v>276</v>
      </c>
      <c r="D136" s="6" t="s">
        <v>308</v>
      </c>
      <c r="E136">
        <v>116.93859999999999</v>
      </c>
      <c r="F136">
        <v>-32.4771</v>
      </c>
      <c r="G136" s="48" t="s">
        <v>397</v>
      </c>
      <c r="I136" t="s">
        <v>632</v>
      </c>
      <c r="J136" t="str">
        <f t="shared" si="2"/>
        <v>C</v>
      </c>
    </row>
    <row r="137" spans="1:11" x14ac:dyDescent="0.25">
      <c r="A137" s="1">
        <v>135</v>
      </c>
      <c r="B137" t="s">
        <v>138</v>
      </c>
      <c r="C137" t="s">
        <v>277</v>
      </c>
      <c r="D137" s="6" t="s">
        <v>308</v>
      </c>
      <c r="E137">
        <v>140.58770000000001</v>
      </c>
      <c r="F137">
        <v>-34.002699999999997</v>
      </c>
      <c r="G137" t="str">
        <f>VLOOKUP(B137,FLUXNET2015!$A$3:$H$269,8,FALSE)</f>
        <v>SAV</v>
      </c>
      <c r="I137" t="s">
        <v>3718</v>
      </c>
      <c r="J137" t="str">
        <f t="shared" si="2"/>
        <v>B</v>
      </c>
    </row>
    <row r="138" spans="1:11" x14ac:dyDescent="0.25">
      <c r="A138" s="1">
        <v>136</v>
      </c>
      <c r="B138" t="s">
        <v>139</v>
      </c>
      <c r="C138" t="s">
        <v>278</v>
      </c>
      <c r="D138" s="6" t="s">
        <v>308</v>
      </c>
      <c r="E138">
        <v>150.7236</v>
      </c>
      <c r="F138">
        <v>-33.615200000000002</v>
      </c>
      <c r="G138" t="str">
        <f>VLOOKUP(B138,FLUXNET2015!$A$3:$H$269,8,FALSE)</f>
        <v>EBF</v>
      </c>
      <c r="I138" t="s">
        <v>360</v>
      </c>
      <c r="J138" t="str">
        <f t="shared" si="2"/>
        <v>C</v>
      </c>
    </row>
    <row r="139" spans="1:11" x14ac:dyDescent="0.25">
      <c r="A139" s="1">
        <v>137</v>
      </c>
      <c r="B139" t="s">
        <v>140</v>
      </c>
      <c r="C139" t="s">
        <v>279</v>
      </c>
      <c r="D139" s="6" t="s">
        <v>308</v>
      </c>
      <c r="E139">
        <v>131.38810000000001</v>
      </c>
      <c r="F139">
        <v>-14.1592</v>
      </c>
      <c r="G139" t="str">
        <f>VLOOKUP(B139,FLUXNET2015!$A$3:$H$269,8,FALSE)</f>
        <v>SAV</v>
      </c>
      <c r="I139" t="s">
        <v>408</v>
      </c>
      <c r="J139" t="str">
        <f t="shared" si="2"/>
        <v>A</v>
      </c>
    </row>
    <row r="140" spans="1:11" x14ac:dyDescent="0.25">
      <c r="A140" s="1">
        <v>138</v>
      </c>
      <c r="B140" t="s">
        <v>141</v>
      </c>
      <c r="C140" t="s">
        <v>275</v>
      </c>
      <c r="D140" s="6" t="s">
        <v>308</v>
      </c>
      <c r="E140">
        <v>132.3706</v>
      </c>
      <c r="F140">
        <v>-15.258800000000001</v>
      </c>
      <c r="G140" t="str">
        <f>VLOOKUP(B140,FLUXNET2015!$A$3:$H$269,8,FALSE)</f>
        <v>SAV</v>
      </c>
      <c r="I140" t="s">
        <v>408</v>
      </c>
      <c r="J140" t="str">
        <f t="shared" si="2"/>
        <v>A</v>
      </c>
    </row>
    <row r="141" spans="1:11" x14ac:dyDescent="0.25">
      <c r="A141" s="1">
        <v>139</v>
      </c>
      <c r="B141" t="s">
        <v>142</v>
      </c>
      <c r="C141" t="s">
        <v>280</v>
      </c>
      <c r="D141" s="6" t="s">
        <v>308</v>
      </c>
      <c r="E141">
        <v>120.6541</v>
      </c>
      <c r="F141">
        <v>-30.191299999999998</v>
      </c>
      <c r="G141" t="str">
        <f>VLOOKUP(B141,FLUXNET2015!$A$3:$H$269,8,FALSE)</f>
        <v>SAV</v>
      </c>
      <c r="I141" t="s">
        <v>3715</v>
      </c>
      <c r="J141" t="str">
        <f t="shared" si="2"/>
        <v>B</v>
      </c>
    </row>
    <row r="142" spans="1:11" x14ac:dyDescent="0.25">
      <c r="A142" s="1">
        <v>140</v>
      </c>
      <c r="B142" t="s">
        <v>143</v>
      </c>
      <c r="C142" t="s">
        <v>281</v>
      </c>
      <c r="D142" s="6" t="s">
        <v>308</v>
      </c>
      <c r="E142">
        <v>130.7945</v>
      </c>
      <c r="F142">
        <v>-13.179</v>
      </c>
      <c r="G142" s="48" t="s">
        <v>433</v>
      </c>
      <c r="I142" t="s">
        <v>408</v>
      </c>
      <c r="J142" t="str">
        <f t="shared" si="2"/>
        <v>A</v>
      </c>
    </row>
    <row r="143" spans="1:11" x14ac:dyDescent="0.25">
      <c r="A143" s="1">
        <v>141</v>
      </c>
      <c r="B143" t="s">
        <v>144</v>
      </c>
      <c r="C143" t="s">
        <v>282</v>
      </c>
      <c r="D143" s="6" t="s">
        <v>308</v>
      </c>
      <c r="E143" s="48"/>
      <c r="F143" s="48"/>
      <c r="G143" s="48"/>
      <c r="J143" t="str">
        <f t="shared" si="2"/>
        <v/>
      </c>
    </row>
    <row r="144" spans="1:11" x14ac:dyDescent="0.25">
      <c r="A144" s="1">
        <v>142</v>
      </c>
      <c r="B144" t="s">
        <v>145</v>
      </c>
      <c r="C144" t="s">
        <v>281</v>
      </c>
      <c r="D144" s="6" t="s">
        <v>308</v>
      </c>
      <c r="E144">
        <v>116.96680000000001</v>
      </c>
      <c r="F144">
        <v>-32.506100000000004</v>
      </c>
      <c r="G144" t="s">
        <v>349</v>
      </c>
      <c r="I144" t="s">
        <v>632</v>
      </c>
      <c r="J144" t="str">
        <f t="shared" si="2"/>
        <v>C</v>
      </c>
      <c r="K144" t="s">
        <v>3800</v>
      </c>
    </row>
    <row r="145" spans="1:11" x14ac:dyDescent="0.25">
      <c r="A145" s="1">
        <v>143</v>
      </c>
      <c r="B145" t="s">
        <v>146</v>
      </c>
      <c r="C145" t="s">
        <v>283</v>
      </c>
      <c r="D145" s="6" t="s">
        <v>308</v>
      </c>
      <c r="E145">
        <v>133.3502</v>
      </c>
      <c r="F145">
        <v>-17.150700000000001</v>
      </c>
      <c r="G145" t="str">
        <f>VLOOKUP(B145,FLUXNET2015!$A$3:$H$269,8,FALSE)</f>
        <v>GRA</v>
      </c>
      <c r="I145" t="s">
        <v>3721</v>
      </c>
      <c r="J145" t="str">
        <f t="shared" si="2"/>
        <v>B</v>
      </c>
    </row>
    <row r="146" spans="1:11" x14ac:dyDescent="0.25">
      <c r="A146" s="1">
        <v>144</v>
      </c>
      <c r="B146" t="s">
        <v>147</v>
      </c>
      <c r="C146" t="s">
        <v>261</v>
      </c>
      <c r="D146" s="6" t="s">
        <v>308</v>
      </c>
      <c r="E146" s="48"/>
      <c r="F146" s="48"/>
      <c r="J146" t="str">
        <f t="shared" si="2"/>
        <v/>
      </c>
    </row>
    <row r="147" spans="1:11" x14ac:dyDescent="0.25">
      <c r="A147" s="1">
        <v>145</v>
      </c>
      <c r="B147" t="s">
        <v>148</v>
      </c>
      <c r="C147" t="s">
        <v>240</v>
      </c>
      <c r="D147" s="6" t="s">
        <v>308</v>
      </c>
      <c r="E147">
        <v>145.02940000000001</v>
      </c>
      <c r="F147">
        <v>-36.673200000000001</v>
      </c>
      <c r="G147" t="str">
        <f>VLOOKUP(B147,FLUXNET2015!$A$3:$H$269,8,FALSE)</f>
        <v>EBF</v>
      </c>
      <c r="I147" t="s">
        <v>3724</v>
      </c>
      <c r="J147" t="str">
        <f t="shared" si="2"/>
        <v>B</v>
      </c>
    </row>
    <row r="148" spans="1:11" x14ac:dyDescent="0.25">
      <c r="A148" s="1">
        <v>146</v>
      </c>
      <c r="B148" t="s">
        <v>149</v>
      </c>
      <c r="C148" t="s">
        <v>242</v>
      </c>
      <c r="D148" s="6" t="s">
        <v>308</v>
      </c>
      <c r="E148">
        <v>144.09440000000001</v>
      </c>
      <c r="F148">
        <v>-37.422199999999997</v>
      </c>
      <c r="G148" t="str">
        <f>VLOOKUP(B148,FLUXNET2015!$A$3:$H$269,8,FALSE)</f>
        <v>EBF</v>
      </c>
      <c r="I148" t="s">
        <v>351</v>
      </c>
      <c r="J148" t="str">
        <f t="shared" si="2"/>
        <v>C</v>
      </c>
    </row>
    <row r="149" spans="1:11" x14ac:dyDescent="0.25">
      <c r="A149" s="1">
        <v>147</v>
      </c>
      <c r="B149" t="s">
        <v>151</v>
      </c>
      <c r="C149" t="s">
        <v>285</v>
      </c>
      <c r="D149" s="5" t="s">
        <v>309</v>
      </c>
      <c r="E149">
        <v>4.7462020000000003</v>
      </c>
      <c r="F149">
        <v>50.551338000000001</v>
      </c>
      <c r="G149" t="str">
        <f>VLOOKUP(B149,FLUXNET2015!$A$3:$H$269,8,FALSE)</f>
        <v>CRO</v>
      </c>
      <c r="I149" t="s">
        <v>351</v>
      </c>
      <c r="J149" t="str">
        <f t="shared" si="2"/>
        <v>C</v>
      </c>
      <c r="K149" t="s">
        <v>3801</v>
      </c>
    </row>
    <row r="150" spans="1:11" x14ac:dyDescent="0.25">
      <c r="A150" s="1">
        <v>148</v>
      </c>
      <c r="B150" t="s">
        <v>169</v>
      </c>
      <c r="C150" t="s">
        <v>291</v>
      </c>
      <c r="D150" s="5" t="s">
        <v>309</v>
      </c>
      <c r="E150" s="3">
        <v>12.176111000000001</v>
      </c>
      <c r="F150" s="3">
        <v>54.210278000000002</v>
      </c>
      <c r="G150" t="str">
        <f>VLOOKUP(B150,FLUXNET2015!$A$3:$H$269,8,FALSE)</f>
        <v>WET</v>
      </c>
      <c r="I150" t="s">
        <v>351</v>
      </c>
      <c r="J150" t="str">
        <f t="shared" si="2"/>
        <v>C</v>
      </c>
    </row>
    <row r="151" spans="1:11" x14ac:dyDescent="0.25">
      <c r="A151" s="1">
        <v>149</v>
      </c>
      <c r="B151" t="s">
        <v>186</v>
      </c>
      <c r="C151" t="s">
        <v>252</v>
      </c>
      <c r="D151" s="5" t="s">
        <v>309</v>
      </c>
      <c r="E151" s="3">
        <v>3.0206499999999998</v>
      </c>
      <c r="F151" s="3">
        <v>49.872109999999999</v>
      </c>
      <c r="G151" s="48" t="s">
        <v>349</v>
      </c>
      <c r="I151" t="s">
        <v>351</v>
      </c>
      <c r="J151" t="str">
        <f t="shared" si="2"/>
        <v>C</v>
      </c>
      <c r="K151" t="s">
        <v>3784</v>
      </c>
    </row>
    <row r="152" spans="1:11" x14ac:dyDescent="0.25">
      <c r="A152" s="1">
        <v>150</v>
      </c>
      <c r="B152" t="s">
        <v>193</v>
      </c>
      <c r="C152" t="s">
        <v>284</v>
      </c>
      <c r="D152" s="5" t="s">
        <v>309</v>
      </c>
      <c r="E152" s="4">
        <v>5.7435499999999999</v>
      </c>
      <c r="F152" s="4">
        <v>52.166446999999998</v>
      </c>
      <c r="G152" t="str">
        <f>VLOOKUP(B152,FLUXNET2015!$A$3:$H$269,8,FALSE)</f>
        <v>ENF</v>
      </c>
      <c r="I152" t="s">
        <v>351</v>
      </c>
      <c r="J152" t="str">
        <f t="shared" si="2"/>
        <v>C</v>
      </c>
    </row>
    <row r="153" spans="1:11" x14ac:dyDescent="0.25">
      <c r="A153" s="1">
        <v>151</v>
      </c>
      <c r="B153" t="s">
        <v>198</v>
      </c>
      <c r="C153" t="s">
        <v>295</v>
      </c>
      <c r="D153" s="5" t="s">
        <v>309</v>
      </c>
      <c r="E153" s="4">
        <v>13.10177</v>
      </c>
      <c r="F153" s="4">
        <v>58.340629999999997</v>
      </c>
      <c r="G153" s="48" t="s">
        <v>349</v>
      </c>
      <c r="I153" t="s">
        <v>481</v>
      </c>
      <c r="J153" t="str">
        <f t="shared" si="2"/>
        <v>D</v>
      </c>
      <c r="K153" t="s">
        <v>3802</v>
      </c>
    </row>
    <row r="154" spans="1:11" x14ac:dyDescent="0.25">
      <c r="A154" s="1">
        <v>152</v>
      </c>
      <c r="B154" t="s">
        <v>150</v>
      </c>
      <c r="C154" t="s">
        <v>297</v>
      </c>
      <c r="D154" s="6" t="s">
        <v>310</v>
      </c>
      <c r="E154">
        <v>4.5200979999999999</v>
      </c>
      <c r="F154">
        <v>51.307009999999998</v>
      </c>
      <c r="G154" t="str">
        <f>VLOOKUP(B154,FLUXNET2015!$A$3:$H$269,8,FALSE)</f>
        <v>MF</v>
      </c>
      <c r="I154" t="s">
        <v>351</v>
      </c>
      <c r="J154" t="str">
        <f t="shared" si="2"/>
        <v>C</v>
      </c>
    </row>
    <row r="155" spans="1:11" x14ac:dyDescent="0.25">
      <c r="A155" s="1">
        <v>153</v>
      </c>
      <c r="B155" t="s">
        <v>202</v>
      </c>
      <c r="C155" t="s">
        <v>270</v>
      </c>
      <c r="D155" s="6" t="s">
        <v>310</v>
      </c>
      <c r="E155">
        <v>4.9681129999999998</v>
      </c>
      <c r="F155">
        <v>50.311874000000003</v>
      </c>
      <c r="G155" s="48" t="s">
        <v>367</v>
      </c>
      <c r="H155" t="s">
        <v>351</v>
      </c>
      <c r="I155" t="s">
        <v>351</v>
      </c>
      <c r="J155" t="str">
        <f t="shared" si="2"/>
        <v>C</v>
      </c>
    </row>
    <row r="156" spans="1:11" x14ac:dyDescent="0.25">
      <c r="A156" s="1">
        <v>154</v>
      </c>
      <c r="B156" t="s">
        <v>203</v>
      </c>
      <c r="C156" t="s">
        <v>229</v>
      </c>
      <c r="D156" s="6" t="s">
        <v>310</v>
      </c>
      <c r="E156">
        <v>3.8504299999999998</v>
      </c>
      <c r="F156">
        <v>51.112180000000002</v>
      </c>
      <c r="G156" s="48" t="s">
        <v>428</v>
      </c>
      <c r="H156" t="s">
        <v>351</v>
      </c>
      <c r="I156" t="s">
        <v>351</v>
      </c>
      <c r="J156" t="str">
        <f t="shared" si="2"/>
        <v>C</v>
      </c>
    </row>
    <row r="157" spans="1:11" x14ac:dyDescent="0.25">
      <c r="A157" s="1">
        <v>155</v>
      </c>
      <c r="B157" t="s">
        <v>151</v>
      </c>
      <c r="C157" t="s">
        <v>298</v>
      </c>
      <c r="D157" s="6" t="s">
        <v>310</v>
      </c>
      <c r="E157">
        <v>4.7462020000000003</v>
      </c>
      <c r="F157">
        <v>50.551338000000001</v>
      </c>
      <c r="G157" t="str">
        <f>VLOOKUP(B157,FLUXNET2015!$A$3:$H$269,8,FALSE)</f>
        <v>CRO</v>
      </c>
      <c r="I157" t="s">
        <v>351</v>
      </c>
      <c r="J157" t="str">
        <f t="shared" si="2"/>
        <v>C</v>
      </c>
      <c r="K157" t="s">
        <v>3801</v>
      </c>
    </row>
    <row r="158" spans="1:11" x14ac:dyDescent="0.25">
      <c r="A158" s="1">
        <v>156</v>
      </c>
      <c r="B158" t="s">
        <v>204</v>
      </c>
      <c r="C158" t="s">
        <v>239</v>
      </c>
      <c r="D158" s="6" t="s">
        <v>310</v>
      </c>
      <c r="E158">
        <v>5.6308350000000003</v>
      </c>
      <c r="F158">
        <v>50.980054000000003</v>
      </c>
      <c r="G158" s="48" t="s">
        <v>925</v>
      </c>
      <c r="H158" t="s">
        <v>351</v>
      </c>
      <c r="I158" t="s">
        <v>351</v>
      </c>
      <c r="J158" t="str">
        <f t="shared" si="2"/>
        <v>C</v>
      </c>
    </row>
    <row r="159" spans="1:11" x14ac:dyDescent="0.25">
      <c r="A159" s="1">
        <v>157</v>
      </c>
      <c r="B159" t="s">
        <v>152</v>
      </c>
      <c r="C159" t="s">
        <v>297</v>
      </c>
      <c r="D159" s="6" t="s">
        <v>310</v>
      </c>
      <c r="E159">
        <v>5.99871</v>
      </c>
      <c r="F159">
        <v>50.306918000000003</v>
      </c>
      <c r="G159" t="str">
        <f>VLOOKUP(B159,FLUXNET2015!$A$3:$H$269,8,FALSE)</f>
        <v>MF</v>
      </c>
      <c r="I159" t="s">
        <v>351</v>
      </c>
      <c r="J159" t="str">
        <f t="shared" si="2"/>
        <v>C</v>
      </c>
    </row>
    <row r="160" spans="1:11" x14ac:dyDescent="0.25">
      <c r="A160" s="1">
        <v>158</v>
      </c>
      <c r="B160" t="s">
        <v>153</v>
      </c>
      <c r="C160" t="s">
        <v>299</v>
      </c>
      <c r="D160" s="6" t="s">
        <v>310</v>
      </c>
      <c r="E160">
        <v>9.7904169999999997</v>
      </c>
      <c r="F160">
        <v>46.583306</v>
      </c>
      <c r="G160" s="48" t="s">
        <v>367</v>
      </c>
      <c r="I160" t="s">
        <v>351</v>
      </c>
      <c r="J160" t="str">
        <f t="shared" si="2"/>
        <v>C</v>
      </c>
    </row>
    <row r="161" spans="1:11" x14ac:dyDescent="0.25">
      <c r="A161" s="1">
        <v>159</v>
      </c>
      <c r="B161" t="s">
        <v>154</v>
      </c>
      <c r="C161" t="s">
        <v>247</v>
      </c>
      <c r="D161" s="6" t="s">
        <v>310</v>
      </c>
      <c r="E161">
        <v>8.4104399999999995</v>
      </c>
      <c r="F161">
        <v>47.21022</v>
      </c>
      <c r="G161" t="str">
        <f>VLOOKUP(B161,FLUXNET2015!$A$3:$H$269,8,FALSE)</f>
        <v>GRA</v>
      </c>
      <c r="I161" t="s">
        <v>539</v>
      </c>
      <c r="J161" t="str">
        <f t="shared" si="2"/>
        <v>D</v>
      </c>
    </row>
    <row r="162" spans="1:11" x14ac:dyDescent="0.25">
      <c r="A162" s="1">
        <v>160</v>
      </c>
      <c r="B162" t="s">
        <v>155</v>
      </c>
      <c r="C162" t="s">
        <v>300</v>
      </c>
      <c r="D162" s="6" t="s">
        <v>310</v>
      </c>
      <c r="E162">
        <v>9.8559099999999997</v>
      </c>
      <c r="F162">
        <v>46.815330000000003</v>
      </c>
      <c r="G162" t="str">
        <f>VLOOKUP(B162,FLUXNET2015!$A$3:$H$269,8,FALSE)</f>
        <v>ENF</v>
      </c>
      <c r="I162" t="s">
        <v>351</v>
      </c>
      <c r="J162" t="str">
        <f t="shared" si="2"/>
        <v>C</v>
      </c>
    </row>
    <row r="163" spans="1:11" x14ac:dyDescent="0.25">
      <c r="A163" s="1">
        <v>161</v>
      </c>
      <c r="B163" t="s">
        <v>156</v>
      </c>
      <c r="C163" t="s">
        <v>247</v>
      </c>
      <c r="D163" s="6" t="s">
        <v>310</v>
      </c>
      <c r="E163">
        <v>8.5377799999999997</v>
      </c>
      <c r="F163">
        <v>47.115830000000003</v>
      </c>
      <c r="G163" t="str">
        <f>VLOOKUP(B163,FLUXNET2015!$A$3:$H$269,8,FALSE)</f>
        <v>GRA</v>
      </c>
      <c r="I163" t="s">
        <v>539</v>
      </c>
      <c r="J163" t="str">
        <f t="shared" si="2"/>
        <v>D</v>
      </c>
    </row>
    <row r="164" spans="1:11" x14ac:dyDescent="0.25">
      <c r="A164" s="1">
        <v>162</v>
      </c>
      <c r="B164" t="s">
        <v>157</v>
      </c>
      <c r="C164" t="s">
        <v>298</v>
      </c>
      <c r="D164" s="6" t="s">
        <v>310</v>
      </c>
      <c r="E164">
        <v>8.3650000000000002</v>
      </c>
      <c r="F164">
        <v>47.478079999999999</v>
      </c>
      <c r="G164" t="str">
        <f>VLOOKUP(B164,FLUXNET2015!$A$3:$H$269,8,FALSE)</f>
        <v>MF</v>
      </c>
      <c r="I164" t="s">
        <v>481</v>
      </c>
      <c r="J164" t="str">
        <f t="shared" si="2"/>
        <v>D</v>
      </c>
    </row>
    <row r="165" spans="1:11" x14ac:dyDescent="0.25">
      <c r="A165" s="1">
        <v>163</v>
      </c>
      <c r="B165" t="s">
        <v>158</v>
      </c>
      <c r="C165" t="s">
        <v>298</v>
      </c>
      <c r="D165" s="6" t="s">
        <v>310</v>
      </c>
      <c r="E165">
        <v>7.7343299999999999</v>
      </c>
      <c r="F165">
        <v>47.28631</v>
      </c>
      <c r="G165" t="str">
        <f>VLOOKUP(B165,FLUXNET2015!$A$3:$H$269,8,FALSE)</f>
        <v>CRO</v>
      </c>
      <c r="I165" t="s">
        <v>351</v>
      </c>
      <c r="J165" t="str">
        <f t="shared" si="2"/>
        <v>C</v>
      </c>
      <c r="K165" t="s">
        <v>3803</v>
      </c>
    </row>
    <row r="166" spans="1:11" x14ac:dyDescent="0.25">
      <c r="A166" s="1">
        <v>164</v>
      </c>
      <c r="B166" t="s">
        <v>159</v>
      </c>
      <c r="C166" t="s">
        <v>298</v>
      </c>
      <c r="D166" s="6" t="s">
        <v>310</v>
      </c>
      <c r="E166">
        <v>18.536881999999999</v>
      </c>
      <c r="F166">
        <v>49.502074999999998</v>
      </c>
      <c r="G166" t="str">
        <f>VLOOKUP(B166,FLUXNET2015!$A$3:$H$269,8,FALSE)</f>
        <v>ENF</v>
      </c>
      <c r="I166" t="s">
        <v>351</v>
      </c>
      <c r="J166" t="str">
        <f t="shared" si="2"/>
        <v>C</v>
      </c>
    </row>
    <row r="167" spans="1:11" x14ac:dyDescent="0.25">
      <c r="A167" s="1">
        <v>165</v>
      </c>
      <c r="B167" t="s">
        <v>205</v>
      </c>
      <c r="C167" t="s">
        <v>230</v>
      </c>
      <c r="D167" s="6" t="s">
        <v>310</v>
      </c>
      <c r="E167">
        <v>15.078773</v>
      </c>
      <c r="F167">
        <v>49.573256999999998</v>
      </c>
      <c r="G167" s="48" t="s">
        <v>349</v>
      </c>
      <c r="I167" t="s">
        <v>481</v>
      </c>
      <c r="J167" t="str">
        <f t="shared" si="2"/>
        <v>D</v>
      </c>
      <c r="K167" t="s">
        <v>3804</v>
      </c>
    </row>
    <row r="168" spans="1:11" x14ac:dyDescent="0.25">
      <c r="A168" s="1">
        <v>166</v>
      </c>
      <c r="B168" t="s">
        <v>160</v>
      </c>
      <c r="C168" t="s">
        <v>231</v>
      </c>
      <c r="D168" s="6" t="s">
        <v>310</v>
      </c>
      <c r="E168">
        <v>16.946331000000001</v>
      </c>
      <c r="F168">
        <v>48.681550000000001</v>
      </c>
      <c r="G168" s="48" t="s">
        <v>428</v>
      </c>
      <c r="I168" t="s">
        <v>481</v>
      </c>
      <c r="J168" t="str">
        <f t="shared" si="2"/>
        <v>D</v>
      </c>
    </row>
    <row r="169" spans="1:11" x14ac:dyDescent="0.25">
      <c r="A169" s="1">
        <v>167</v>
      </c>
      <c r="B169" t="s">
        <v>161</v>
      </c>
      <c r="C169" t="s">
        <v>301</v>
      </c>
      <c r="D169" s="6" t="s">
        <v>310</v>
      </c>
      <c r="E169">
        <v>16.696512500000001</v>
      </c>
      <c r="F169">
        <v>49.443723599999998</v>
      </c>
      <c r="G169" s="48" t="s">
        <v>513</v>
      </c>
      <c r="I169" t="s">
        <v>481</v>
      </c>
      <c r="J169" t="str">
        <f t="shared" si="2"/>
        <v>D</v>
      </c>
    </row>
    <row r="170" spans="1:11" x14ac:dyDescent="0.25">
      <c r="A170" s="1">
        <v>168</v>
      </c>
      <c r="B170" t="s">
        <v>162</v>
      </c>
      <c r="C170" t="s">
        <v>255</v>
      </c>
      <c r="D170" s="6" t="s">
        <v>310</v>
      </c>
      <c r="E170">
        <v>17.969899999999999</v>
      </c>
      <c r="F170">
        <v>49.035975000000001</v>
      </c>
      <c r="G170" s="48" t="s">
        <v>428</v>
      </c>
      <c r="I170" t="s">
        <v>481</v>
      </c>
      <c r="J170" t="str">
        <f t="shared" si="2"/>
        <v>D</v>
      </c>
    </row>
    <row r="171" spans="1:11" x14ac:dyDescent="0.25">
      <c r="A171" s="1">
        <v>169</v>
      </c>
      <c r="B171" t="s">
        <v>163</v>
      </c>
      <c r="C171" t="s">
        <v>299</v>
      </c>
      <c r="D171" s="6" t="s">
        <v>310</v>
      </c>
      <c r="E171">
        <v>14.770350000000001</v>
      </c>
      <c r="F171">
        <v>49.024650000000001</v>
      </c>
      <c r="G171" t="str">
        <f>VLOOKUP(B171,FLUXNET2015!$A$3:$H$269,8,FALSE)</f>
        <v>WET</v>
      </c>
      <c r="I171" t="s">
        <v>481</v>
      </c>
      <c r="J171" t="str">
        <f t="shared" si="2"/>
        <v>D</v>
      </c>
    </row>
    <row r="172" spans="1:11" x14ac:dyDescent="0.25">
      <c r="A172" s="1">
        <v>170</v>
      </c>
      <c r="B172" t="s">
        <v>164</v>
      </c>
      <c r="C172" t="s">
        <v>302</v>
      </c>
      <c r="D172" s="6" t="s">
        <v>310</v>
      </c>
      <c r="E172">
        <v>13.68342</v>
      </c>
      <c r="F172">
        <v>53.866169999999997</v>
      </c>
      <c r="G172" t="str">
        <f>VLOOKUP(B172,FLUXNET2015!$A$3:$H$269,8,FALSE)</f>
        <v>WET</v>
      </c>
      <c r="I172" t="s">
        <v>481</v>
      </c>
      <c r="J172" t="str">
        <f t="shared" si="2"/>
        <v>D</v>
      </c>
    </row>
    <row r="173" spans="1:11" x14ac:dyDescent="0.25">
      <c r="A173" s="1">
        <v>171</v>
      </c>
      <c r="B173" t="s">
        <v>165</v>
      </c>
      <c r="C173" t="s">
        <v>263</v>
      </c>
      <c r="D173" s="6" t="s">
        <v>310</v>
      </c>
      <c r="E173">
        <v>10.914529999999999</v>
      </c>
      <c r="F173">
        <v>51.099850000000004</v>
      </c>
      <c r="G173" t="str">
        <f>VLOOKUP(B173,FLUXNET2015!$A$3:$H$269,8,FALSE)</f>
        <v>CRO</v>
      </c>
      <c r="I173" t="s">
        <v>351</v>
      </c>
      <c r="J173" t="str">
        <f t="shared" si="2"/>
        <v>C</v>
      </c>
      <c r="K173" t="s">
        <v>3805</v>
      </c>
    </row>
    <row r="174" spans="1:11" x14ac:dyDescent="0.25">
      <c r="A174" s="1">
        <v>172</v>
      </c>
      <c r="B174" t="s">
        <v>166</v>
      </c>
      <c r="C174" t="s">
        <v>298</v>
      </c>
      <c r="D174" s="6" t="s">
        <v>310</v>
      </c>
      <c r="E174">
        <v>13.512589999999999</v>
      </c>
      <c r="F174">
        <v>50.950040000000001</v>
      </c>
      <c r="G174" t="str">
        <f>VLOOKUP(B174,FLUXNET2015!$A$3:$H$269,8,FALSE)</f>
        <v>GRA</v>
      </c>
      <c r="I174" t="s">
        <v>351</v>
      </c>
      <c r="J174" t="str">
        <f t="shared" si="2"/>
        <v>C</v>
      </c>
    </row>
    <row r="175" spans="1:11" x14ac:dyDescent="0.25">
      <c r="A175" s="1">
        <v>173</v>
      </c>
      <c r="B175" t="s">
        <v>167</v>
      </c>
      <c r="C175" t="s">
        <v>303</v>
      </c>
      <c r="D175" s="6" t="s">
        <v>310</v>
      </c>
      <c r="E175">
        <v>10.452089000000001</v>
      </c>
      <c r="F175">
        <v>51.079407000000003</v>
      </c>
      <c r="G175" t="str">
        <f>VLOOKUP(B175,FLUXNET2015!$A$3:$H$269,8,FALSE)</f>
        <v>DBF</v>
      </c>
      <c r="I175" t="s">
        <v>481</v>
      </c>
      <c r="J175" t="str">
        <f t="shared" si="2"/>
        <v>D</v>
      </c>
    </row>
    <row r="176" spans="1:11" x14ac:dyDescent="0.25">
      <c r="A176" s="1">
        <v>174</v>
      </c>
      <c r="B176" t="s">
        <v>168</v>
      </c>
      <c r="C176" t="s">
        <v>231</v>
      </c>
      <c r="D176" s="6" t="s">
        <v>310</v>
      </c>
      <c r="E176">
        <v>11.221911</v>
      </c>
      <c r="F176">
        <v>52.086370000000002</v>
      </c>
      <c r="G176" s="48" t="s">
        <v>428</v>
      </c>
      <c r="H176" t="s">
        <v>351</v>
      </c>
      <c r="I176" t="s">
        <v>481</v>
      </c>
      <c r="J176" t="str">
        <f t="shared" si="2"/>
        <v>D</v>
      </c>
    </row>
    <row r="177" spans="1:11" x14ac:dyDescent="0.25">
      <c r="A177" s="1">
        <v>175</v>
      </c>
      <c r="B177" t="s">
        <v>170</v>
      </c>
      <c r="C177" t="s">
        <v>255</v>
      </c>
      <c r="D177" s="6" t="s">
        <v>310</v>
      </c>
      <c r="E177">
        <v>13.48978</v>
      </c>
      <c r="F177">
        <v>50.963810000000002</v>
      </c>
      <c r="G177" s="48" t="s">
        <v>428</v>
      </c>
      <c r="H177" t="s">
        <v>481</v>
      </c>
      <c r="I177" t="s">
        <v>351</v>
      </c>
      <c r="J177" t="str">
        <f t="shared" si="2"/>
        <v>C</v>
      </c>
    </row>
    <row r="178" spans="1:11" x14ac:dyDescent="0.25">
      <c r="A178" s="1">
        <v>176</v>
      </c>
      <c r="B178" t="s">
        <v>171</v>
      </c>
      <c r="C178" t="s">
        <v>298</v>
      </c>
      <c r="D178" s="6" t="s">
        <v>310</v>
      </c>
      <c r="E178">
        <v>13.52238</v>
      </c>
      <c r="F178">
        <v>50.893059999999998</v>
      </c>
      <c r="G178" t="str">
        <f>VLOOKUP(B178,FLUXNET2015!$A$3:$H$269,8,FALSE)</f>
        <v>CRO</v>
      </c>
      <c r="I178" t="s">
        <v>481</v>
      </c>
      <c r="J178" t="str">
        <f t="shared" si="2"/>
        <v>D</v>
      </c>
      <c r="K178" t="s">
        <v>3806</v>
      </c>
    </row>
    <row r="179" spans="1:11" x14ac:dyDescent="0.25">
      <c r="A179" s="1">
        <v>177</v>
      </c>
      <c r="B179" t="s">
        <v>172</v>
      </c>
      <c r="C179" t="s">
        <v>246</v>
      </c>
      <c r="D179" s="6" t="s">
        <v>310</v>
      </c>
      <c r="E179">
        <v>13.72129</v>
      </c>
      <c r="F179">
        <v>50.786659999999998</v>
      </c>
      <c r="G179" t="str">
        <f>VLOOKUP(B179,FLUXNET2015!$A$3:$H$269,8,FALSE)</f>
        <v>ENF</v>
      </c>
      <c r="I179" t="s">
        <v>481</v>
      </c>
      <c r="J179" t="str">
        <f t="shared" si="2"/>
        <v>D</v>
      </c>
    </row>
    <row r="180" spans="1:11" x14ac:dyDescent="0.25">
      <c r="A180" s="1">
        <v>178</v>
      </c>
      <c r="B180" t="s">
        <v>173</v>
      </c>
      <c r="C180" t="s">
        <v>270</v>
      </c>
      <c r="D180" s="6" t="s">
        <v>310</v>
      </c>
      <c r="E180">
        <v>6.3041260000000001</v>
      </c>
      <c r="F180">
        <v>50.621913999999997</v>
      </c>
      <c r="G180" t="str">
        <f>VLOOKUP(B180,FLUXNET2015!$A$3:$H$269,8,FALSE)</f>
        <v>GRA</v>
      </c>
      <c r="I180" t="s">
        <v>481</v>
      </c>
      <c r="J180" t="str">
        <f t="shared" si="2"/>
        <v>D</v>
      </c>
    </row>
    <row r="181" spans="1:11" x14ac:dyDescent="0.25">
      <c r="A181" s="1">
        <v>179</v>
      </c>
      <c r="B181" t="s">
        <v>174</v>
      </c>
      <c r="C181" t="s">
        <v>270</v>
      </c>
      <c r="D181" s="6" t="s">
        <v>310</v>
      </c>
      <c r="E181">
        <v>6.447076</v>
      </c>
      <c r="F181">
        <v>50.866033000000002</v>
      </c>
      <c r="G181" t="str">
        <f>VLOOKUP(B181,FLUXNET2015!$A$3:$H$269,8,FALSE)</f>
        <v>CRO</v>
      </c>
      <c r="I181" t="s">
        <v>351</v>
      </c>
      <c r="J181" t="str">
        <f t="shared" si="2"/>
        <v>C</v>
      </c>
      <c r="K181" t="s">
        <v>3805</v>
      </c>
    </row>
    <row r="182" spans="1:11" x14ac:dyDescent="0.25">
      <c r="A182" s="1">
        <v>180</v>
      </c>
      <c r="B182" t="s">
        <v>175</v>
      </c>
      <c r="C182" t="s">
        <v>301</v>
      </c>
      <c r="D182" s="6" t="s">
        <v>310</v>
      </c>
      <c r="E182">
        <v>6.3309626999999997</v>
      </c>
      <c r="F182">
        <v>50.504930000000002</v>
      </c>
      <c r="G182" s="48" t="s">
        <v>513</v>
      </c>
      <c r="H182" t="s">
        <v>351</v>
      </c>
      <c r="I182" t="s">
        <v>351</v>
      </c>
      <c r="J182" t="str">
        <f t="shared" si="2"/>
        <v>C</v>
      </c>
    </row>
    <row r="183" spans="1:11" x14ac:dyDescent="0.25">
      <c r="A183" s="1">
        <v>181</v>
      </c>
      <c r="B183" t="s">
        <v>176</v>
      </c>
      <c r="C183" t="s">
        <v>297</v>
      </c>
      <c r="D183" s="6" t="s">
        <v>310</v>
      </c>
      <c r="E183">
        <v>13.565149999999999</v>
      </c>
      <c r="F183">
        <v>50.962560000000003</v>
      </c>
      <c r="G183" t="str">
        <f>VLOOKUP(B183,FLUXNET2015!$A$3:$H$269,8,FALSE)</f>
        <v>ENF</v>
      </c>
      <c r="I183" t="s">
        <v>351</v>
      </c>
      <c r="J183" t="str">
        <f t="shared" si="2"/>
        <v>C</v>
      </c>
    </row>
    <row r="184" spans="1:11" x14ac:dyDescent="0.25">
      <c r="A184" s="1">
        <v>182</v>
      </c>
      <c r="B184" t="s">
        <v>206</v>
      </c>
      <c r="C184" t="s">
        <v>304</v>
      </c>
      <c r="D184" s="6" t="s">
        <v>310</v>
      </c>
      <c r="E184">
        <v>9.3340999999999994</v>
      </c>
      <c r="F184">
        <v>56.073700000000002</v>
      </c>
      <c r="G184" s="48" t="s">
        <v>513</v>
      </c>
      <c r="H184" t="s">
        <v>351</v>
      </c>
      <c r="I184" t="s">
        <v>481</v>
      </c>
      <c r="J184" t="str">
        <f t="shared" si="2"/>
        <v>D</v>
      </c>
    </row>
    <row r="185" spans="1:11" x14ac:dyDescent="0.25">
      <c r="A185" s="1">
        <v>183</v>
      </c>
      <c r="B185" t="s">
        <v>177</v>
      </c>
      <c r="C185" t="s">
        <v>297</v>
      </c>
      <c r="D185" s="6" t="s">
        <v>310</v>
      </c>
      <c r="E185">
        <v>11.645206999999999</v>
      </c>
      <c r="F185">
        <v>55.486286</v>
      </c>
      <c r="G185" t="str">
        <f>VLOOKUP(B185,FLUXNET2015!$A$3:$H$269,8,FALSE)</f>
        <v>DBF</v>
      </c>
      <c r="I185" t="s">
        <v>351</v>
      </c>
      <c r="J185" t="str">
        <f t="shared" si="2"/>
        <v>C</v>
      </c>
    </row>
    <row r="186" spans="1:11" x14ac:dyDescent="0.25">
      <c r="A186" s="1">
        <v>184</v>
      </c>
      <c r="B186" t="s">
        <v>178</v>
      </c>
      <c r="C186" t="s">
        <v>231</v>
      </c>
      <c r="D186" s="6" t="s">
        <v>310</v>
      </c>
      <c r="E186">
        <v>-6.7858809999999998</v>
      </c>
      <c r="F186">
        <v>38.701839</v>
      </c>
      <c r="G186" s="48" t="s">
        <v>1436</v>
      </c>
      <c r="I186" t="s">
        <v>351</v>
      </c>
      <c r="J186" t="str">
        <f t="shared" si="2"/>
        <v>C</v>
      </c>
    </row>
    <row r="187" spans="1:11" x14ac:dyDescent="0.25">
      <c r="A187" s="1">
        <v>185</v>
      </c>
      <c r="B187" t="s">
        <v>207</v>
      </c>
      <c r="C187" t="s">
        <v>299</v>
      </c>
      <c r="D187" s="6" t="s">
        <v>310</v>
      </c>
      <c r="E187">
        <v>-2.0332080000000001</v>
      </c>
      <c r="F187">
        <v>36.940046000000002</v>
      </c>
      <c r="G187" s="48" t="s">
        <v>581</v>
      </c>
      <c r="I187" t="s">
        <v>632</v>
      </c>
      <c r="J187" t="str">
        <f t="shared" si="2"/>
        <v>C</v>
      </c>
    </row>
    <row r="188" spans="1:11" x14ac:dyDescent="0.25">
      <c r="A188" s="1">
        <v>186</v>
      </c>
      <c r="B188" t="s">
        <v>208</v>
      </c>
      <c r="C188" t="s">
        <v>230</v>
      </c>
      <c r="D188" s="6" t="s">
        <v>310</v>
      </c>
      <c r="E188">
        <v>-3.2276590000000001</v>
      </c>
      <c r="F188">
        <v>37.914997999999997</v>
      </c>
      <c r="G188" s="48" t="s">
        <v>433</v>
      </c>
      <c r="I188" t="s">
        <v>3715</v>
      </c>
      <c r="J188" t="str">
        <f t="shared" si="2"/>
        <v>B</v>
      </c>
    </row>
    <row r="189" spans="1:11" x14ac:dyDescent="0.25">
      <c r="A189" s="1">
        <v>187</v>
      </c>
      <c r="B189" t="s">
        <v>209</v>
      </c>
      <c r="C189" t="s">
        <v>298</v>
      </c>
      <c r="D189" s="6" t="s">
        <v>310</v>
      </c>
      <c r="E189">
        <v>-2.7521149999999999</v>
      </c>
      <c r="F189">
        <v>36.926594000000001</v>
      </c>
      <c r="G189" t="str">
        <f>VLOOKUP(B189,FLUXNET2015!$A$3:$H$269,8,FALSE)</f>
        <v>OSH</v>
      </c>
      <c r="I189" t="s">
        <v>632</v>
      </c>
      <c r="J189" t="str">
        <f t="shared" si="2"/>
        <v>C</v>
      </c>
    </row>
    <row r="190" spans="1:11" x14ac:dyDescent="0.25">
      <c r="A190" s="1">
        <v>188</v>
      </c>
      <c r="B190" t="s">
        <v>179</v>
      </c>
      <c r="C190" t="s">
        <v>230</v>
      </c>
      <c r="D190" s="6" t="s">
        <v>310</v>
      </c>
      <c r="E190">
        <v>-5.778683</v>
      </c>
      <c r="F190">
        <v>39.942689999999999</v>
      </c>
      <c r="G190" s="48" t="s">
        <v>1436</v>
      </c>
      <c r="I190" t="s">
        <v>573</v>
      </c>
      <c r="J190" t="str">
        <f t="shared" si="2"/>
        <v>C</v>
      </c>
    </row>
    <row r="191" spans="1:11" x14ac:dyDescent="0.25">
      <c r="A191" s="1">
        <v>189</v>
      </c>
      <c r="B191" t="s">
        <v>180</v>
      </c>
      <c r="C191" t="s">
        <v>230</v>
      </c>
      <c r="D191" s="6" t="s">
        <v>310</v>
      </c>
      <c r="E191">
        <v>-5.775881</v>
      </c>
      <c r="F191">
        <v>39.934592000000002</v>
      </c>
      <c r="G191" s="48" t="s">
        <v>1436</v>
      </c>
      <c r="I191" t="s">
        <v>632</v>
      </c>
      <c r="J191" t="str">
        <f t="shared" si="2"/>
        <v>C</v>
      </c>
    </row>
    <row r="192" spans="1:11" x14ac:dyDescent="0.25">
      <c r="A192" s="1">
        <v>190</v>
      </c>
      <c r="B192" t="s">
        <v>181</v>
      </c>
      <c r="C192" t="s">
        <v>297</v>
      </c>
      <c r="D192" s="6" t="s">
        <v>310</v>
      </c>
      <c r="E192">
        <v>24.293970999999999</v>
      </c>
      <c r="F192">
        <v>61.847718999999998</v>
      </c>
      <c r="G192" t="str">
        <f>VLOOKUP(B192,FLUXNET2015!$A$3:$H$269,8,FALSE)</f>
        <v>ENF</v>
      </c>
      <c r="I192" t="s">
        <v>632</v>
      </c>
      <c r="J192" t="str">
        <f t="shared" si="2"/>
        <v>C</v>
      </c>
    </row>
    <row r="193" spans="1:11" x14ac:dyDescent="0.25">
      <c r="A193" s="1">
        <v>191</v>
      </c>
      <c r="B193" t="s">
        <v>210</v>
      </c>
      <c r="C193" t="s">
        <v>267</v>
      </c>
      <c r="D193" s="6" t="s">
        <v>310</v>
      </c>
      <c r="E193">
        <v>24.243010000000002</v>
      </c>
      <c r="F193">
        <v>67.987210000000005</v>
      </c>
      <c r="G193" s="48" t="s">
        <v>513</v>
      </c>
      <c r="H193" t="s">
        <v>539</v>
      </c>
      <c r="I193" t="s">
        <v>539</v>
      </c>
      <c r="J193" t="str">
        <f t="shared" si="2"/>
        <v>D</v>
      </c>
    </row>
    <row r="194" spans="1:11" x14ac:dyDescent="0.25">
      <c r="A194" s="1">
        <v>192</v>
      </c>
      <c r="B194" t="s">
        <v>182</v>
      </c>
      <c r="C194" t="s">
        <v>302</v>
      </c>
      <c r="D194" s="6" t="s">
        <v>310</v>
      </c>
      <c r="E194">
        <v>23.959520000000001</v>
      </c>
      <c r="F194">
        <v>60.641829999999999</v>
      </c>
      <c r="G194" t="str">
        <f>VLOOKUP(B194,FLUXNET2015!$A$3:$H$269,8,FALSE)</f>
        <v>ENF</v>
      </c>
      <c r="I194" t="s">
        <v>539</v>
      </c>
      <c r="J194" t="str">
        <f t="shared" si="2"/>
        <v>D</v>
      </c>
    </row>
    <row r="195" spans="1:11" x14ac:dyDescent="0.25">
      <c r="A195" s="1">
        <v>193</v>
      </c>
      <c r="B195" t="s">
        <v>211</v>
      </c>
      <c r="C195" t="s">
        <v>267</v>
      </c>
      <c r="D195" s="6" t="s">
        <v>310</v>
      </c>
      <c r="E195">
        <v>22.391607</v>
      </c>
      <c r="F195">
        <v>60.295242000000002</v>
      </c>
      <c r="G195" s="48" t="s">
        <v>349</v>
      </c>
      <c r="H195" t="s">
        <v>481</v>
      </c>
      <c r="I195" t="s">
        <v>481</v>
      </c>
      <c r="J195" t="str">
        <f t="shared" ref="J195:J226" si="3">LEFT(I195,1)</f>
        <v>D</v>
      </c>
      <c r="K195" t="s">
        <v>3809</v>
      </c>
    </row>
    <row r="196" spans="1:11" x14ac:dyDescent="0.25">
      <c r="A196" s="1">
        <v>194</v>
      </c>
      <c r="B196" t="s">
        <v>183</v>
      </c>
      <c r="C196" t="s">
        <v>239</v>
      </c>
      <c r="D196" s="6" t="s">
        <v>310</v>
      </c>
      <c r="E196">
        <v>24.192274999999999</v>
      </c>
      <c r="F196">
        <v>61.833143</v>
      </c>
      <c r="G196" t="str">
        <f>VLOOKUP(B196,FLUXNET2015!$A$3:$H$269,8,FALSE)</f>
        <v>WET</v>
      </c>
      <c r="I196" t="s">
        <v>481</v>
      </c>
      <c r="J196" t="str">
        <f t="shared" si="3"/>
        <v>D</v>
      </c>
    </row>
    <row r="197" spans="1:11" x14ac:dyDescent="0.25">
      <c r="A197" s="1">
        <v>195</v>
      </c>
      <c r="B197" t="s">
        <v>184</v>
      </c>
      <c r="C197" t="s">
        <v>239</v>
      </c>
      <c r="D197" s="6" t="s">
        <v>310</v>
      </c>
      <c r="E197">
        <v>29.61</v>
      </c>
      <c r="F197">
        <v>67.754900000000006</v>
      </c>
      <c r="G197" s="48" t="s">
        <v>513</v>
      </c>
      <c r="H197" t="s">
        <v>539</v>
      </c>
      <c r="I197" t="s">
        <v>539</v>
      </c>
      <c r="J197" t="str">
        <f t="shared" si="3"/>
        <v>D</v>
      </c>
    </row>
    <row r="198" spans="1:11" x14ac:dyDescent="0.25">
      <c r="A198" s="1">
        <v>196</v>
      </c>
      <c r="B198" t="s">
        <v>212</v>
      </c>
      <c r="C198" t="s">
        <v>247</v>
      </c>
      <c r="D198" s="6" t="s">
        <v>310</v>
      </c>
      <c r="E198">
        <v>1.1061030000000001</v>
      </c>
      <c r="F198">
        <v>43.54965</v>
      </c>
      <c r="G198" s="48" t="s">
        <v>349</v>
      </c>
      <c r="H198" t="s">
        <v>351</v>
      </c>
      <c r="I198" t="s">
        <v>539</v>
      </c>
      <c r="J198" t="str">
        <f t="shared" si="3"/>
        <v>D</v>
      </c>
      <c r="K198" t="s">
        <v>3808</v>
      </c>
    </row>
    <row r="199" spans="1:11" x14ac:dyDescent="0.25">
      <c r="A199" s="1">
        <v>197</v>
      </c>
      <c r="B199" t="s">
        <v>185</v>
      </c>
      <c r="C199" t="s">
        <v>230</v>
      </c>
      <c r="D199" s="6" t="s">
        <v>310</v>
      </c>
      <c r="E199">
        <v>-0.95609200000000005</v>
      </c>
      <c r="F199">
        <v>44.493651999999997</v>
      </c>
      <c r="G199" s="48" t="s">
        <v>513</v>
      </c>
      <c r="H199" t="s">
        <v>351</v>
      </c>
      <c r="I199" t="s">
        <v>360</v>
      </c>
      <c r="J199" t="str">
        <f t="shared" si="3"/>
        <v>C</v>
      </c>
    </row>
    <row r="200" spans="1:11" x14ac:dyDescent="0.25">
      <c r="A200" s="1">
        <v>198</v>
      </c>
      <c r="B200" t="s">
        <v>213</v>
      </c>
      <c r="C200" t="s">
        <v>246</v>
      </c>
      <c r="D200" s="6" t="s">
        <v>310</v>
      </c>
      <c r="E200">
        <v>5.6786500000000002</v>
      </c>
      <c r="F200">
        <v>43.240789999999997</v>
      </c>
      <c r="G200" s="48" t="s">
        <v>513</v>
      </c>
      <c r="H200" t="s">
        <v>360</v>
      </c>
      <c r="I200" t="s">
        <v>351</v>
      </c>
      <c r="J200" t="str">
        <f t="shared" si="3"/>
        <v>C</v>
      </c>
    </row>
    <row r="201" spans="1:11" x14ac:dyDescent="0.25">
      <c r="A201" s="1">
        <v>199</v>
      </c>
      <c r="B201" t="s">
        <v>214</v>
      </c>
      <c r="C201" t="s">
        <v>247</v>
      </c>
      <c r="D201" s="6" t="s">
        <v>310</v>
      </c>
      <c r="E201">
        <v>2.7805580000000001</v>
      </c>
      <c r="F201">
        <v>48.476224999999999</v>
      </c>
      <c r="G201" t="str">
        <f>VLOOKUP(B201,FLUXNET2015!$A$3:$H$269,8,FALSE)</f>
        <v>DBF</v>
      </c>
      <c r="I201" t="s">
        <v>632</v>
      </c>
      <c r="J201" t="str">
        <f t="shared" si="3"/>
        <v>C</v>
      </c>
    </row>
    <row r="202" spans="1:11" x14ac:dyDescent="0.25">
      <c r="A202" s="1">
        <v>200</v>
      </c>
      <c r="B202" t="s">
        <v>215</v>
      </c>
      <c r="C202" t="s">
        <v>298</v>
      </c>
      <c r="D202" s="6" t="s">
        <v>310</v>
      </c>
      <c r="E202">
        <v>1.9519299999999999</v>
      </c>
      <c r="F202">
        <v>48.844149999999999</v>
      </c>
      <c r="G202" t="str">
        <f>VLOOKUP(B202,FLUXNET2015!$A$3:$H$269,8,FALSE)</f>
        <v>CRO</v>
      </c>
      <c r="I202" t="s">
        <v>351</v>
      </c>
      <c r="J202" t="str">
        <f t="shared" si="3"/>
        <v>C</v>
      </c>
      <c r="K202" t="s">
        <v>3807</v>
      </c>
    </row>
    <row r="203" spans="1:11" x14ac:dyDescent="0.25">
      <c r="A203" s="1">
        <v>201</v>
      </c>
      <c r="B203" t="s">
        <v>187</v>
      </c>
      <c r="C203" t="s">
        <v>230</v>
      </c>
      <c r="D203" s="6" t="s">
        <v>310</v>
      </c>
      <c r="E203">
        <v>7.0641540000000003</v>
      </c>
      <c r="F203">
        <v>48.674320000000002</v>
      </c>
      <c r="G203" s="48" t="s">
        <v>428</v>
      </c>
      <c r="H203" t="s">
        <v>351</v>
      </c>
      <c r="I203" t="s">
        <v>351</v>
      </c>
      <c r="J203" t="str">
        <f t="shared" si="3"/>
        <v>C</v>
      </c>
    </row>
    <row r="204" spans="1:11" x14ac:dyDescent="0.25">
      <c r="A204" s="1">
        <v>202</v>
      </c>
      <c r="B204" t="s">
        <v>216</v>
      </c>
      <c r="C204" t="s">
        <v>247</v>
      </c>
      <c r="D204" s="6" t="s">
        <v>310</v>
      </c>
      <c r="E204">
        <v>2.2841019999999999</v>
      </c>
      <c r="F204">
        <v>47.322918000000001</v>
      </c>
      <c r="G204" s="48" t="s">
        <v>349</v>
      </c>
      <c r="H204" t="s">
        <v>351</v>
      </c>
      <c r="I204" t="s">
        <v>351</v>
      </c>
      <c r="J204" t="str">
        <f t="shared" si="3"/>
        <v>C</v>
      </c>
      <c r="K204" t="s">
        <v>3807</v>
      </c>
    </row>
    <row r="205" spans="1:11" x14ac:dyDescent="0.25">
      <c r="A205" s="1">
        <v>203</v>
      </c>
      <c r="B205" t="s">
        <v>217</v>
      </c>
      <c r="C205" t="s">
        <v>243</v>
      </c>
      <c r="D205" s="6" t="s">
        <v>310</v>
      </c>
      <c r="E205">
        <v>1.2381770000000001</v>
      </c>
      <c r="F205">
        <v>43.496478000000003</v>
      </c>
      <c r="G205" t="str">
        <f>VLOOKUP(B205,FLUXNET2015!$A$3:$H$269,8,FALSE)</f>
        <v>WET</v>
      </c>
      <c r="I205" t="s">
        <v>351</v>
      </c>
      <c r="J205" t="str">
        <f t="shared" si="3"/>
        <v>C</v>
      </c>
    </row>
    <row r="206" spans="1:11" x14ac:dyDescent="0.25">
      <c r="A206" s="1">
        <v>204</v>
      </c>
      <c r="B206" t="s">
        <v>218</v>
      </c>
      <c r="C206" t="s">
        <v>267</v>
      </c>
      <c r="D206" s="6" t="s">
        <v>310</v>
      </c>
      <c r="E206">
        <v>1.3747400000000001</v>
      </c>
      <c r="F206">
        <v>43.572856999999999</v>
      </c>
      <c r="G206" s="48" t="s">
        <v>367</v>
      </c>
      <c r="H206" t="s">
        <v>351</v>
      </c>
      <c r="I206" t="s">
        <v>360</v>
      </c>
      <c r="J206" t="str">
        <f t="shared" si="3"/>
        <v>C</v>
      </c>
    </row>
    <row r="207" spans="1:11" x14ac:dyDescent="0.25">
      <c r="A207" s="1">
        <v>205</v>
      </c>
      <c r="B207" t="s">
        <v>219</v>
      </c>
      <c r="C207" t="s">
        <v>298</v>
      </c>
      <c r="D207" s="6" t="s">
        <v>310</v>
      </c>
      <c r="E207">
        <v>-52.924799999999998</v>
      </c>
      <c r="F207">
        <v>5.2786999999999997</v>
      </c>
      <c r="G207" t="str">
        <f>VLOOKUP(B207,FLUXNET2015!$A$3:$H$269,8,FALSE)</f>
        <v>EBF</v>
      </c>
      <c r="I207" t="s">
        <v>360</v>
      </c>
      <c r="J207" t="str">
        <f t="shared" si="3"/>
        <v>C</v>
      </c>
    </row>
    <row r="208" spans="1:11" x14ac:dyDescent="0.25">
      <c r="A208" s="1">
        <v>206</v>
      </c>
      <c r="B208" t="s">
        <v>220</v>
      </c>
      <c r="C208" t="s">
        <v>304</v>
      </c>
      <c r="D208" s="6" t="s">
        <v>310</v>
      </c>
      <c r="E208">
        <v>-53.514130000000002</v>
      </c>
      <c r="F208">
        <v>69.253489999999999</v>
      </c>
      <c r="G208" s="48" t="s">
        <v>581</v>
      </c>
      <c r="H208" t="s">
        <v>680</v>
      </c>
      <c r="I208" t="s">
        <v>423</v>
      </c>
      <c r="J208" t="str">
        <f t="shared" si="3"/>
        <v>A</v>
      </c>
    </row>
    <row r="209" spans="1:11" x14ac:dyDescent="0.25">
      <c r="A209" s="1">
        <v>207</v>
      </c>
      <c r="B209" t="s">
        <v>221</v>
      </c>
      <c r="C209" t="s">
        <v>304</v>
      </c>
      <c r="D209" s="6" t="s">
        <v>310</v>
      </c>
      <c r="E209">
        <v>-7.641769</v>
      </c>
      <c r="F209">
        <v>53.322978499999998</v>
      </c>
      <c r="G209" s="48" t="s">
        <v>376</v>
      </c>
      <c r="H209" t="s">
        <v>351</v>
      </c>
      <c r="I209" t="s">
        <v>680</v>
      </c>
      <c r="J209" t="str">
        <f t="shared" si="3"/>
        <v>E</v>
      </c>
    </row>
    <row r="210" spans="1:11" x14ac:dyDescent="0.25">
      <c r="A210" s="1">
        <v>208</v>
      </c>
      <c r="B210" t="s">
        <v>222</v>
      </c>
      <c r="C210" t="s">
        <v>303</v>
      </c>
      <c r="D210" s="6" t="s">
        <v>310</v>
      </c>
      <c r="E210">
        <v>35.051988510000001</v>
      </c>
      <c r="F210">
        <v>31.345044590000001</v>
      </c>
      <c r="G210" s="48" t="s">
        <v>513</v>
      </c>
      <c r="I210" t="s">
        <v>351</v>
      </c>
      <c r="J210" t="str">
        <f t="shared" si="3"/>
        <v>C</v>
      </c>
    </row>
    <row r="211" spans="1:11" x14ac:dyDescent="0.25">
      <c r="A211" s="1">
        <v>209</v>
      </c>
      <c r="B211" t="s">
        <v>188</v>
      </c>
      <c r="C211" t="s">
        <v>298</v>
      </c>
      <c r="D211" s="6" t="s">
        <v>310</v>
      </c>
      <c r="E211">
        <v>14.957169</v>
      </c>
      <c r="F211">
        <v>40.523614000000002</v>
      </c>
      <c r="G211" t="str">
        <f>VLOOKUP(B211,FLUXNET2015!$A$3:$H$269,8,FALSE)</f>
        <v>CRO</v>
      </c>
      <c r="I211" t="s">
        <v>632</v>
      </c>
      <c r="J211" t="str">
        <f t="shared" si="3"/>
        <v>C</v>
      </c>
      <c r="K211" t="s">
        <v>3810</v>
      </c>
    </row>
    <row r="212" spans="1:11" x14ac:dyDescent="0.25">
      <c r="A212" s="1">
        <v>210</v>
      </c>
      <c r="B212" t="s">
        <v>223</v>
      </c>
      <c r="C212" t="s">
        <v>229</v>
      </c>
      <c r="D212" s="6" t="s">
        <v>310</v>
      </c>
      <c r="E212">
        <v>10.741966</v>
      </c>
      <c r="F212">
        <v>45.197754000000003</v>
      </c>
      <c r="G212" s="48" t="s">
        <v>428</v>
      </c>
      <c r="I212" t="s">
        <v>632</v>
      </c>
      <c r="J212" t="str">
        <f t="shared" si="3"/>
        <v>C</v>
      </c>
    </row>
    <row r="213" spans="1:11" x14ac:dyDescent="0.25">
      <c r="A213" s="1">
        <v>211</v>
      </c>
      <c r="B213" t="s">
        <v>189</v>
      </c>
      <c r="C213" t="s">
        <v>301</v>
      </c>
      <c r="D213" s="6" t="s">
        <v>310</v>
      </c>
      <c r="E213">
        <v>12.356870000000001</v>
      </c>
      <c r="F213">
        <v>41.704300000000003</v>
      </c>
      <c r="G213" t="str">
        <f>VLOOKUP(B213,FLUXNET2015!$A$3:$H$269,8,FALSE)</f>
        <v>EBF</v>
      </c>
      <c r="I213" t="s">
        <v>360</v>
      </c>
      <c r="J213" t="str">
        <f t="shared" si="3"/>
        <v>C</v>
      </c>
    </row>
    <row r="214" spans="1:11" x14ac:dyDescent="0.25">
      <c r="A214" s="1">
        <v>212</v>
      </c>
      <c r="B214" t="s">
        <v>224</v>
      </c>
      <c r="C214" t="s">
        <v>235</v>
      </c>
      <c r="D214" s="6" t="s">
        <v>310</v>
      </c>
      <c r="E214">
        <v>11.281319999999999</v>
      </c>
      <c r="F214">
        <v>45.956200000000003</v>
      </c>
      <c r="G214" t="str">
        <f>VLOOKUP(B214,FLUXNET2015!$A$3:$H$269,8,FALSE)</f>
        <v>ENF</v>
      </c>
      <c r="I214" t="s">
        <v>632</v>
      </c>
      <c r="J214" t="str">
        <f t="shared" si="3"/>
        <v>C</v>
      </c>
    </row>
    <row r="215" spans="1:11" x14ac:dyDescent="0.25">
      <c r="A215" s="1">
        <v>213</v>
      </c>
      <c r="B215" t="s">
        <v>190</v>
      </c>
      <c r="C215" t="s">
        <v>239</v>
      </c>
      <c r="D215" s="6" t="s">
        <v>310</v>
      </c>
      <c r="E215">
        <v>12.750297</v>
      </c>
      <c r="F215">
        <v>45.740482</v>
      </c>
      <c r="G215" s="48" t="s">
        <v>581</v>
      </c>
      <c r="H215" t="s">
        <v>360</v>
      </c>
      <c r="I215" t="s">
        <v>481</v>
      </c>
      <c r="J215" t="str">
        <f t="shared" si="3"/>
        <v>D</v>
      </c>
    </row>
    <row r="216" spans="1:11" x14ac:dyDescent="0.25">
      <c r="A216" s="1">
        <v>214</v>
      </c>
      <c r="B216" t="s">
        <v>225</v>
      </c>
      <c r="C216" t="s">
        <v>235</v>
      </c>
      <c r="D216" s="6" t="s">
        <v>310</v>
      </c>
      <c r="E216">
        <v>11.045831</v>
      </c>
      <c r="F216">
        <v>46.014679999999998</v>
      </c>
      <c r="G216" t="str">
        <f>VLOOKUP(B216,FLUXNET2015!$A$3:$H$269,8,FALSE)</f>
        <v>GRA</v>
      </c>
      <c r="I216" t="s">
        <v>360</v>
      </c>
      <c r="J216" t="str">
        <f t="shared" si="3"/>
        <v>C</v>
      </c>
    </row>
    <row r="217" spans="1:11" x14ac:dyDescent="0.25">
      <c r="A217" s="1">
        <v>215</v>
      </c>
      <c r="B217" t="s">
        <v>226</v>
      </c>
      <c r="C217" t="s">
        <v>253</v>
      </c>
      <c r="D217" s="6" t="s">
        <v>310</v>
      </c>
      <c r="E217">
        <v>11.43369</v>
      </c>
      <c r="F217">
        <v>46.586860000000001</v>
      </c>
      <c r="G217" t="str">
        <f>VLOOKUP(B217,FLUXNET2015!$A$3:$H$269,8,FALSE)</f>
        <v>ENF</v>
      </c>
      <c r="I217" t="s">
        <v>481</v>
      </c>
      <c r="J217" t="str">
        <f t="shared" si="3"/>
        <v>D</v>
      </c>
    </row>
    <row r="218" spans="1:11" x14ac:dyDescent="0.25">
      <c r="A218" s="1">
        <v>216</v>
      </c>
      <c r="B218" t="s">
        <v>191</v>
      </c>
      <c r="C218" t="s">
        <v>305</v>
      </c>
      <c r="D218" s="6" t="s">
        <v>310</v>
      </c>
      <c r="E218">
        <v>10.291491000000001</v>
      </c>
      <c r="F218">
        <v>43.731912999999999</v>
      </c>
      <c r="G218" t="str">
        <f>VLOOKUP(B218,FLUXNET2015!$A$3:$H$269,8,FALSE)</f>
        <v>ENF</v>
      </c>
      <c r="I218" t="s">
        <v>539</v>
      </c>
      <c r="J218" t="str">
        <f t="shared" si="3"/>
        <v>D</v>
      </c>
    </row>
    <row r="219" spans="1:11" x14ac:dyDescent="0.25">
      <c r="A219" s="1">
        <v>217</v>
      </c>
      <c r="B219" t="s">
        <v>192</v>
      </c>
      <c r="C219" t="s">
        <v>246</v>
      </c>
      <c r="D219" s="6" t="s">
        <v>310</v>
      </c>
      <c r="E219">
        <v>7.578055</v>
      </c>
      <c r="F219">
        <v>45.844439999999999</v>
      </c>
      <c r="G219" t="str">
        <f>VLOOKUP(B219,FLUXNET2015!$A$3:$H$269,8,FALSE)</f>
        <v>GRA</v>
      </c>
      <c r="I219" t="s">
        <v>632</v>
      </c>
      <c r="J219" t="str">
        <f t="shared" si="3"/>
        <v>C</v>
      </c>
    </row>
    <row r="220" spans="1:11" x14ac:dyDescent="0.25">
      <c r="A220" s="1">
        <v>218</v>
      </c>
      <c r="B220" t="s">
        <v>194</v>
      </c>
      <c r="C220" t="s">
        <v>231</v>
      </c>
      <c r="D220" s="6" t="s">
        <v>310</v>
      </c>
      <c r="E220">
        <v>32.901878000000004</v>
      </c>
      <c r="F220">
        <v>56.447603000000001</v>
      </c>
      <c r="G220" t="str">
        <f>VLOOKUP(B220,FLUXNET2015!$A$3:$H$269,8,FALSE)</f>
        <v>ENF</v>
      </c>
      <c r="I220" t="s">
        <v>539</v>
      </c>
      <c r="J220" t="str">
        <f t="shared" si="3"/>
        <v>D</v>
      </c>
    </row>
    <row r="221" spans="1:11" x14ac:dyDescent="0.25">
      <c r="A221" s="1">
        <v>219</v>
      </c>
      <c r="B221" t="s">
        <v>195</v>
      </c>
      <c r="C221" t="s">
        <v>306</v>
      </c>
      <c r="D221" s="6" t="s">
        <v>310</v>
      </c>
      <c r="E221">
        <v>32.922083299999997</v>
      </c>
      <c r="F221">
        <v>56.461527799999999</v>
      </c>
      <c r="G221" t="str">
        <f>VLOOKUP(B221,FLUXNET2015!$A$3:$H$269,8,FALSE)</f>
        <v>ENF</v>
      </c>
      <c r="I221" t="s">
        <v>481</v>
      </c>
      <c r="J221" t="str">
        <f t="shared" si="3"/>
        <v>D</v>
      </c>
    </row>
    <row r="222" spans="1:11" x14ac:dyDescent="0.25">
      <c r="A222" s="1">
        <v>220</v>
      </c>
      <c r="B222" t="s">
        <v>196</v>
      </c>
      <c r="C222" t="s">
        <v>263</v>
      </c>
      <c r="D222" s="6" t="s">
        <v>310</v>
      </c>
      <c r="E222">
        <v>19.557448000000001</v>
      </c>
      <c r="F222">
        <v>64.182333</v>
      </c>
      <c r="G222" t="str">
        <f>VLOOKUP(B222,FLUXNET2015!$A$3:$H$269,8,FALSE)</f>
        <v>GRA</v>
      </c>
      <c r="I222" t="s">
        <v>481</v>
      </c>
      <c r="J222" t="str">
        <f t="shared" si="3"/>
        <v>D</v>
      </c>
    </row>
    <row r="223" spans="1:11" x14ac:dyDescent="0.25">
      <c r="A223" s="1">
        <v>221</v>
      </c>
      <c r="B223" t="s">
        <v>197</v>
      </c>
      <c r="C223" t="s">
        <v>231</v>
      </c>
      <c r="D223" s="6" t="s">
        <v>310</v>
      </c>
      <c r="E223">
        <v>13.417892999999999</v>
      </c>
      <c r="F223">
        <v>56.097566</v>
      </c>
      <c r="G223" s="48" t="s">
        <v>513</v>
      </c>
      <c r="H223" t="s">
        <v>481</v>
      </c>
      <c r="I223" t="s">
        <v>539</v>
      </c>
      <c r="J223" t="str">
        <f t="shared" si="3"/>
        <v>D</v>
      </c>
    </row>
    <row r="224" spans="1:11" x14ac:dyDescent="0.25">
      <c r="A224" s="1">
        <v>222</v>
      </c>
      <c r="B224" t="s">
        <v>199</v>
      </c>
      <c r="C224" t="s">
        <v>230</v>
      </c>
      <c r="D224" s="6" t="s">
        <v>310</v>
      </c>
      <c r="E224">
        <v>17.47852</v>
      </c>
      <c r="F224">
        <v>60.08699</v>
      </c>
      <c r="G224" s="48" t="s">
        <v>513</v>
      </c>
      <c r="H224" t="s">
        <v>481</v>
      </c>
      <c r="I224" t="s">
        <v>481</v>
      </c>
      <c r="J224" t="str">
        <f t="shared" si="3"/>
        <v>D</v>
      </c>
    </row>
    <row r="225" spans="1:10" x14ac:dyDescent="0.25">
      <c r="A225" s="1">
        <v>223</v>
      </c>
      <c r="B225" t="s">
        <v>200</v>
      </c>
      <c r="C225" t="s">
        <v>230</v>
      </c>
      <c r="D225" s="6" t="s">
        <v>310</v>
      </c>
      <c r="E225">
        <v>19.738</v>
      </c>
      <c r="F225">
        <v>64.172499999999999</v>
      </c>
      <c r="G225" s="48" t="s">
        <v>513</v>
      </c>
      <c r="I225" t="s">
        <v>481</v>
      </c>
      <c r="J225" t="str">
        <f t="shared" si="3"/>
        <v>D</v>
      </c>
    </row>
    <row r="226" spans="1:10" x14ac:dyDescent="0.25">
      <c r="A226" s="1">
        <v>224</v>
      </c>
      <c r="B226" t="s">
        <v>201</v>
      </c>
      <c r="C226" t="s">
        <v>230</v>
      </c>
      <c r="D226" s="6" t="s">
        <v>310</v>
      </c>
      <c r="E226">
        <v>19.776502000000001</v>
      </c>
      <c r="F226">
        <v>64.256304999999998</v>
      </c>
      <c r="G226" s="48" t="s">
        <v>513</v>
      </c>
      <c r="H226" t="s">
        <v>539</v>
      </c>
      <c r="I226" t="s">
        <v>539</v>
      </c>
      <c r="J226" t="str">
        <f t="shared" si="3"/>
        <v>D</v>
      </c>
    </row>
  </sheetData>
  <conditionalFormatting sqref="G1:G1048576">
    <cfRule type="containsText" dxfId="0" priority="1" operator="containsText" text="CRO">
      <formula>NOT(ISERROR(SEARCH("CRO",G1)))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592F-D1FF-4794-A22C-2E66CA5052E8}">
  <dimension ref="A1:N273"/>
  <sheetViews>
    <sheetView topLeftCell="A257" workbookViewId="0">
      <selection activeCell="A149" sqref="A149:H273"/>
    </sheetView>
  </sheetViews>
  <sheetFormatPr defaultRowHeight="15" x14ac:dyDescent="0.25"/>
  <sheetData>
    <row r="1" spans="1:14" x14ac:dyDescent="0.25">
      <c r="A1" s="49" t="s">
        <v>3707</v>
      </c>
      <c r="B1" s="49" t="s">
        <v>0</v>
      </c>
      <c r="C1" s="49" t="s">
        <v>1</v>
      </c>
      <c r="D1" s="49" t="s">
        <v>2</v>
      </c>
      <c r="E1" s="49" t="s">
        <v>311</v>
      </c>
      <c r="F1" s="49" t="s">
        <v>312</v>
      </c>
      <c r="G1" s="49" t="s">
        <v>3708</v>
      </c>
      <c r="H1" s="50" t="s">
        <v>3778</v>
      </c>
      <c r="K1" t="s">
        <v>3777</v>
      </c>
      <c r="L1" t="s">
        <v>3778</v>
      </c>
    </row>
    <row r="2" spans="1:14" ht="30" x14ac:dyDescent="0.25">
      <c r="A2" s="49">
        <v>0</v>
      </c>
      <c r="B2" s="49" t="s">
        <v>3</v>
      </c>
      <c r="C2" s="49" t="s">
        <v>227</v>
      </c>
      <c r="D2" s="49" t="s">
        <v>307</v>
      </c>
      <c r="E2" s="49">
        <v>-66.733500000000006</v>
      </c>
      <c r="F2" s="49">
        <v>-54.973300000000002</v>
      </c>
      <c r="G2" s="49">
        <v>29</v>
      </c>
      <c r="H2" t="str">
        <f>VLOOKUP(G2,$K$2:$L$31,2)</f>
        <v>ET</v>
      </c>
      <c r="K2" s="49">
        <v>1</v>
      </c>
      <c r="L2" t="s">
        <v>403</v>
      </c>
      <c r="M2" t="s">
        <v>3709</v>
      </c>
      <c r="N2" t="s">
        <v>3710</v>
      </c>
    </row>
    <row r="3" spans="1:14" ht="30" x14ac:dyDescent="0.25">
      <c r="A3" s="49">
        <v>1</v>
      </c>
      <c r="B3" s="49" t="s">
        <v>4</v>
      </c>
      <c r="C3" s="49" t="s">
        <v>228</v>
      </c>
      <c r="D3" s="49" t="s">
        <v>307</v>
      </c>
      <c r="E3" s="49">
        <v>-79.933300000000003</v>
      </c>
      <c r="F3" s="49">
        <v>44.316699999999898</v>
      </c>
      <c r="G3" s="49">
        <v>26</v>
      </c>
      <c r="H3" t="str">
        <f t="shared" ref="H3:H66" si="0">VLOOKUP(G3,$K$2:$L$31,2)</f>
        <v>Dfb</v>
      </c>
      <c r="K3" s="49">
        <v>2</v>
      </c>
      <c r="L3" t="s">
        <v>423</v>
      </c>
      <c r="M3" t="s">
        <v>3711</v>
      </c>
      <c r="N3" t="s">
        <v>3712</v>
      </c>
    </row>
    <row r="4" spans="1:14" ht="30" x14ac:dyDescent="0.25">
      <c r="A4" s="49">
        <v>2</v>
      </c>
      <c r="B4" s="49" t="s">
        <v>5</v>
      </c>
      <c r="C4" s="49" t="s">
        <v>229</v>
      </c>
      <c r="D4" s="49" t="s">
        <v>307</v>
      </c>
      <c r="E4" s="49">
        <v>-122.995099999999</v>
      </c>
      <c r="F4" s="49">
        <v>49.119</v>
      </c>
      <c r="G4" s="49">
        <v>9</v>
      </c>
      <c r="H4" t="str">
        <f t="shared" si="0"/>
        <v>Csb</v>
      </c>
      <c r="K4" s="49">
        <v>3</v>
      </c>
      <c r="L4" t="s">
        <v>408</v>
      </c>
      <c r="M4" t="s">
        <v>3713</v>
      </c>
      <c r="N4" t="s">
        <v>3714</v>
      </c>
    </row>
    <row r="5" spans="1:14" ht="30" x14ac:dyDescent="0.25">
      <c r="A5" s="49">
        <v>3</v>
      </c>
      <c r="B5" s="49" t="s">
        <v>6</v>
      </c>
      <c r="C5" s="49" t="s">
        <v>230</v>
      </c>
      <c r="D5" s="49" t="s">
        <v>307</v>
      </c>
      <c r="E5" s="49">
        <v>-122.984899999999</v>
      </c>
      <c r="F5" s="49">
        <v>49.129300000000001</v>
      </c>
      <c r="G5" s="49">
        <v>9</v>
      </c>
      <c r="H5" t="str">
        <f t="shared" si="0"/>
        <v>Csb</v>
      </c>
      <c r="K5" s="49">
        <v>4</v>
      </c>
      <c r="L5" t="s">
        <v>3715</v>
      </c>
      <c r="M5" t="s">
        <v>3716</v>
      </c>
      <c r="N5" t="s">
        <v>3717</v>
      </c>
    </row>
    <row r="6" spans="1:14" ht="30" x14ac:dyDescent="0.25">
      <c r="A6" s="49">
        <v>4</v>
      </c>
      <c r="B6" s="49" t="s">
        <v>7</v>
      </c>
      <c r="C6" s="49" t="s">
        <v>231</v>
      </c>
      <c r="D6" s="49" t="s">
        <v>307</v>
      </c>
      <c r="E6" s="49">
        <v>-80.412300000000002</v>
      </c>
      <c r="F6" s="49">
        <v>43.640500000000003</v>
      </c>
      <c r="G6" s="49">
        <v>26</v>
      </c>
      <c r="H6" t="str">
        <f t="shared" si="0"/>
        <v>Dfb</v>
      </c>
      <c r="K6" s="49">
        <v>5</v>
      </c>
      <c r="L6" t="s">
        <v>3718</v>
      </c>
      <c r="M6" t="s">
        <v>3719</v>
      </c>
      <c r="N6" t="s">
        <v>3720</v>
      </c>
    </row>
    <row r="7" spans="1:14" ht="30" x14ac:dyDescent="0.25">
      <c r="A7" s="49">
        <v>5</v>
      </c>
      <c r="B7" s="49" t="s">
        <v>8</v>
      </c>
      <c r="C7" s="49" t="s">
        <v>232</v>
      </c>
      <c r="D7" s="49" t="s">
        <v>307</v>
      </c>
      <c r="E7" s="49">
        <v>-122.841399999999</v>
      </c>
      <c r="F7" s="49">
        <v>55.111899999999899</v>
      </c>
      <c r="G7" s="49">
        <v>26</v>
      </c>
      <c r="H7" t="str">
        <f t="shared" si="0"/>
        <v>Dfb</v>
      </c>
      <c r="K7" s="49">
        <v>6</v>
      </c>
      <c r="L7" t="s">
        <v>3721</v>
      </c>
      <c r="M7" t="s">
        <v>3722</v>
      </c>
      <c r="N7" t="s">
        <v>3723</v>
      </c>
    </row>
    <row r="8" spans="1:14" ht="30" x14ac:dyDescent="0.25">
      <c r="A8" s="49">
        <v>6</v>
      </c>
      <c r="B8" s="49" t="s">
        <v>9</v>
      </c>
      <c r="C8" s="49" t="s">
        <v>233</v>
      </c>
      <c r="D8" s="49" t="s">
        <v>307</v>
      </c>
      <c r="E8" s="49">
        <v>-73.319000000000003</v>
      </c>
      <c r="F8" s="49">
        <v>-3.8344</v>
      </c>
      <c r="G8" s="49">
        <v>1</v>
      </c>
      <c r="H8" t="str">
        <f t="shared" si="0"/>
        <v>Af</v>
      </c>
      <c r="K8" s="49">
        <v>7</v>
      </c>
      <c r="L8" t="s">
        <v>3724</v>
      </c>
      <c r="M8" t="s">
        <v>3725</v>
      </c>
      <c r="N8" t="s">
        <v>3726</v>
      </c>
    </row>
    <row r="9" spans="1:14" ht="30" x14ac:dyDescent="0.25">
      <c r="A9" s="49">
        <v>7</v>
      </c>
      <c r="B9" s="49" t="s">
        <v>10</v>
      </c>
      <c r="C9" s="49" t="s">
        <v>234</v>
      </c>
      <c r="D9" s="49" t="s">
        <v>307</v>
      </c>
      <c r="E9" s="49">
        <v>-89.606700000000004</v>
      </c>
      <c r="F9" s="49">
        <v>46.0307999999999</v>
      </c>
      <c r="G9" s="49">
        <v>26</v>
      </c>
      <c r="H9" t="str">
        <f t="shared" si="0"/>
        <v>Dfb</v>
      </c>
      <c r="K9" s="49">
        <v>8</v>
      </c>
      <c r="L9" t="s">
        <v>632</v>
      </c>
      <c r="M9" t="s">
        <v>3727</v>
      </c>
      <c r="N9" t="s">
        <v>3728</v>
      </c>
    </row>
    <row r="10" spans="1:14" ht="30" x14ac:dyDescent="0.25">
      <c r="A10" s="49">
        <v>8</v>
      </c>
      <c r="B10" s="49" t="s">
        <v>11</v>
      </c>
      <c r="C10" s="49" t="s">
        <v>235</v>
      </c>
      <c r="D10" s="49" t="s">
        <v>307</v>
      </c>
      <c r="E10" s="49">
        <v>-97.488799999999898</v>
      </c>
      <c r="F10" s="49">
        <v>36.605800000000002</v>
      </c>
      <c r="G10" s="49">
        <v>14</v>
      </c>
      <c r="H10" t="str">
        <f t="shared" si="0"/>
        <v>Cfa</v>
      </c>
      <c r="K10" s="49">
        <v>9</v>
      </c>
      <c r="L10" t="s">
        <v>573</v>
      </c>
      <c r="M10" t="s">
        <v>3729</v>
      </c>
      <c r="N10" t="s">
        <v>3730</v>
      </c>
    </row>
    <row r="11" spans="1:14" ht="30" x14ac:dyDescent="0.25">
      <c r="A11" s="49">
        <v>9</v>
      </c>
      <c r="B11" s="49" t="s">
        <v>12</v>
      </c>
      <c r="C11" s="49" t="s">
        <v>236</v>
      </c>
      <c r="D11" s="49" t="s">
        <v>307</v>
      </c>
      <c r="E11" s="49">
        <v>-71.2881</v>
      </c>
      <c r="F11" s="49">
        <v>44.064599999999899</v>
      </c>
      <c r="G11" s="49">
        <v>26</v>
      </c>
      <c r="H11" t="str">
        <f t="shared" si="0"/>
        <v>Dfb</v>
      </c>
      <c r="K11" s="49">
        <v>10</v>
      </c>
      <c r="L11" t="s">
        <v>3731</v>
      </c>
      <c r="M11" t="s">
        <v>3732</v>
      </c>
      <c r="N11" t="s">
        <v>3733</v>
      </c>
    </row>
    <row r="12" spans="1:14" ht="30" x14ac:dyDescent="0.25">
      <c r="A12" s="49">
        <v>10</v>
      </c>
      <c r="B12" s="49" t="s">
        <v>13</v>
      </c>
      <c r="C12" s="49" t="s">
        <v>237</v>
      </c>
      <c r="D12" s="49" t="s">
        <v>307</v>
      </c>
      <c r="E12" s="49">
        <v>-121.49930000000001</v>
      </c>
      <c r="F12" s="49">
        <v>38.099200000000003</v>
      </c>
      <c r="G12" s="49">
        <v>8</v>
      </c>
      <c r="H12" t="str">
        <f t="shared" si="0"/>
        <v>Csa</v>
      </c>
      <c r="K12" s="49">
        <v>11</v>
      </c>
      <c r="L12" t="s">
        <v>435</v>
      </c>
      <c r="M12" t="s">
        <v>3734</v>
      </c>
      <c r="N12" t="s">
        <v>3735</v>
      </c>
    </row>
    <row r="13" spans="1:14" ht="30" x14ac:dyDescent="0.25">
      <c r="A13" s="49">
        <v>11</v>
      </c>
      <c r="B13" s="49" t="s">
        <v>14</v>
      </c>
      <c r="C13" s="49" t="s">
        <v>238</v>
      </c>
      <c r="D13" s="49" t="s">
        <v>307</v>
      </c>
      <c r="E13" s="49">
        <v>-121.5351</v>
      </c>
      <c r="F13" s="49">
        <v>38.109099999999899</v>
      </c>
      <c r="G13" s="49">
        <v>8</v>
      </c>
      <c r="H13" t="str">
        <f t="shared" si="0"/>
        <v>Csa</v>
      </c>
      <c r="K13" s="49">
        <v>12</v>
      </c>
      <c r="L13" t="s">
        <v>3736</v>
      </c>
      <c r="M13" t="s">
        <v>3737</v>
      </c>
      <c r="N13" t="s">
        <v>3738</v>
      </c>
    </row>
    <row r="14" spans="1:14" ht="30" x14ac:dyDescent="0.25">
      <c r="A14" s="49">
        <v>12</v>
      </c>
      <c r="B14" s="49" t="s">
        <v>15</v>
      </c>
      <c r="C14" s="49" t="s">
        <v>239</v>
      </c>
      <c r="D14" s="49" t="s">
        <v>307</v>
      </c>
      <c r="E14" s="49">
        <v>-86.540599999999898</v>
      </c>
      <c r="F14" s="49">
        <v>39.216700000000003</v>
      </c>
      <c r="G14" s="49">
        <v>25</v>
      </c>
      <c r="H14" t="str">
        <f t="shared" si="0"/>
        <v>Dfa</v>
      </c>
      <c r="K14" s="49">
        <v>13</v>
      </c>
      <c r="L14" t="s">
        <v>504</v>
      </c>
      <c r="M14" t="s">
        <v>3739</v>
      </c>
      <c r="N14" t="s">
        <v>3740</v>
      </c>
    </row>
    <row r="15" spans="1:14" ht="30" x14ac:dyDescent="0.25">
      <c r="A15" s="49">
        <v>13</v>
      </c>
      <c r="B15" s="49" t="s">
        <v>16</v>
      </c>
      <c r="C15" s="49" t="s">
        <v>240</v>
      </c>
      <c r="D15" s="49" t="s">
        <v>307</v>
      </c>
      <c r="E15" s="49">
        <v>-148.320799999999</v>
      </c>
      <c r="F15" s="49">
        <v>64.695499999999896</v>
      </c>
      <c r="G15" s="49">
        <v>26</v>
      </c>
      <c r="H15" t="str">
        <f t="shared" si="0"/>
        <v>Dfb</v>
      </c>
      <c r="K15" s="49">
        <v>14</v>
      </c>
      <c r="L15" t="s">
        <v>360</v>
      </c>
      <c r="M15" t="s">
        <v>3741</v>
      </c>
      <c r="N15" t="s">
        <v>3742</v>
      </c>
    </row>
    <row r="16" spans="1:14" ht="30" x14ac:dyDescent="0.25">
      <c r="A16" s="49">
        <v>14</v>
      </c>
      <c r="B16" s="49" t="s">
        <v>17</v>
      </c>
      <c r="C16" s="49" t="s">
        <v>240</v>
      </c>
      <c r="D16" s="49" t="s">
        <v>307</v>
      </c>
      <c r="E16" s="49">
        <v>-148.31209999999899</v>
      </c>
      <c r="F16" s="49">
        <v>64.701300000000003</v>
      </c>
      <c r="G16" s="49">
        <v>26</v>
      </c>
      <c r="H16" t="str">
        <f t="shared" si="0"/>
        <v>Dfb</v>
      </c>
      <c r="K16" s="49">
        <v>15</v>
      </c>
      <c r="L16" t="s">
        <v>351</v>
      </c>
      <c r="M16" t="s">
        <v>3743</v>
      </c>
      <c r="N16" t="s">
        <v>3744</v>
      </c>
    </row>
    <row r="17" spans="1:14" ht="30" x14ac:dyDescent="0.25">
      <c r="A17" s="49">
        <v>15</v>
      </c>
      <c r="B17" s="49" t="s">
        <v>18</v>
      </c>
      <c r="C17" s="49" t="s">
        <v>241</v>
      </c>
      <c r="D17" s="49" t="s">
        <v>307</v>
      </c>
      <c r="E17" s="49">
        <v>-148.33000000000001</v>
      </c>
      <c r="F17" s="49">
        <v>64.693600000000004</v>
      </c>
      <c r="G17" s="49">
        <v>26</v>
      </c>
      <c r="H17" t="str">
        <f t="shared" si="0"/>
        <v>Dfb</v>
      </c>
      <c r="K17" s="49">
        <v>16</v>
      </c>
      <c r="L17" t="s">
        <v>1545</v>
      </c>
      <c r="M17" t="s">
        <v>3745</v>
      </c>
      <c r="N17" t="s">
        <v>3746</v>
      </c>
    </row>
    <row r="18" spans="1:14" ht="30" x14ac:dyDescent="0.25">
      <c r="A18" s="49">
        <v>16</v>
      </c>
      <c r="B18" s="49" t="s">
        <v>19</v>
      </c>
      <c r="C18" s="49" t="s">
        <v>242</v>
      </c>
      <c r="D18" s="49" t="s">
        <v>307</v>
      </c>
      <c r="E18" s="49">
        <v>-148.323499999999</v>
      </c>
      <c r="F18" s="49">
        <v>64.696299999999894</v>
      </c>
      <c r="G18" s="49">
        <v>26</v>
      </c>
      <c r="H18" t="str">
        <f t="shared" si="0"/>
        <v>Dfb</v>
      </c>
      <c r="K18" s="49">
        <v>17</v>
      </c>
      <c r="L18" t="s">
        <v>1077</v>
      </c>
      <c r="M18" t="s">
        <v>3747</v>
      </c>
      <c r="N18" t="s">
        <v>3748</v>
      </c>
    </row>
    <row r="19" spans="1:14" ht="30" x14ac:dyDescent="0.25">
      <c r="A19" s="49">
        <v>17</v>
      </c>
      <c r="B19" s="49" t="s">
        <v>20</v>
      </c>
      <c r="C19" s="49" t="s">
        <v>243</v>
      </c>
      <c r="D19" s="49" t="s">
        <v>307</v>
      </c>
      <c r="E19" s="49">
        <v>-117.082099999999</v>
      </c>
      <c r="F19" s="49">
        <v>46.781500000000001</v>
      </c>
      <c r="G19" s="49">
        <v>18</v>
      </c>
      <c r="H19" t="str">
        <f t="shared" si="0"/>
        <v>Dsb</v>
      </c>
      <c r="K19" s="49">
        <v>18</v>
      </c>
      <c r="L19" t="s">
        <v>1302</v>
      </c>
      <c r="M19" t="s">
        <v>3749</v>
      </c>
      <c r="N19" t="s">
        <v>3750</v>
      </c>
    </row>
    <row r="20" spans="1:14" ht="30" x14ac:dyDescent="0.25">
      <c r="A20" s="49">
        <v>18</v>
      </c>
      <c r="B20" s="49" t="s">
        <v>21</v>
      </c>
      <c r="C20" s="49" t="s">
        <v>243</v>
      </c>
      <c r="D20" s="49" t="s">
        <v>307</v>
      </c>
      <c r="E20" s="49">
        <v>-117.0908</v>
      </c>
      <c r="F20" s="49">
        <v>46.783999999999899</v>
      </c>
      <c r="G20" s="49">
        <v>18</v>
      </c>
      <c r="H20" t="str">
        <f t="shared" si="0"/>
        <v>Dsb</v>
      </c>
      <c r="K20" s="49">
        <v>19</v>
      </c>
      <c r="L20" t="s">
        <v>1197</v>
      </c>
      <c r="M20" t="s">
        <v>3751</v>
      </c>
      <c r="N20" t="s">
        <v>3752</v>
      </c>
    </row>
    <row r="21" spans="1:14" ht="30" x14ac:dyDescent="0.25">
      <c r="A21" s="49">
        <v>19</v>
      </c>
      <c r="B21" s="49" t="s">
        <v>22</v>
      </c>
      <c r="C21" s="49" t="s">
        <v>238</v>
      </c>
      <c r="D21" s="49" t="s">
        <v>307</v>
      </c>
      <c r="E21" s="49">
        <v>-117.126099999999</v>
      </c>
      <c r="F21" s="49">
        <v>46.755099999999899</v>
      </c>
      <c r="G21" s="49">
        <v>18</v>
      </c>
      <c r="H21" t="str">
        <f t="shared" si="0"/>
        <v>Dsb</v>
      </c>
      <c r="K21" s="49">
        <v>20</v>
      </c>
      <c r="L21" t="s">
        <v>3753</v>
      </c>
      <c r="M21" t="s">
        <v>3754</v>
      </c>
      <c r="N21" t="s">
        <v>3755</v>
      </c>
    </row>
    <row r="22" spans="1:14" ht="30" x14ac:dyDescent="0.25">
      <c r="A22" s="49">
        <v>20</v>
      </c>
      <c r="B22" s="49" t="s">
        <v>23</v>
      </c>
      <c r="C22" s="49" t="s">
        <v>238</v>
      </c>
      <c r="D22" s="49" t="s">
        <v>307</v>
      </c>
      <c r="E22" s="49">
        <v>-117.1285</v>
      </c>
      <c r="F22" s="49">
        <v>46.751800000000003</v>
      </c>
      <c r="G22" s="49">
        <v>18</v>
      </c>
      <c r="H22" t="str">
        <f t="shared" si="0"/>
        <v>Dsb</v>
      </c>
      <c r="K22" s="49">
        <v>21</v>
      </c>
      <c r="L22" t="s">
        <v>2887</v>
      </c>
      <c r="M22" t="s">
        <v>3756</v>
      </c>
      <c r="N22" t="s">
        <v>3757</v>
      </c>
    </row>
    <row r="23" spans="1:14" ht="30" x14ac:dyDescent="0.25">
      <c r="A23" s="49">
        <v>21</v>
      </c>
      <c r="B23" s="49" t="s">
        <v>24</v>
      </c>
      <c r="C23" s="49" t="s">
        <v>233</v>
      </c>
      <c r="D23" s="49" t="s">
        <v>307</v>
      </c>
      <c r="E23" s="49">
        <v>-89.537899999999894</v>
      </c>
      <c r="F23" s="49">
        <v>44.103099999999898</v>
      </c>
      <c r="G23" s="49">
        <v>26</v>
      </c>
      <c r="H23" t="str">
        <f t="shared" si="0"/>
        <v>Dfb</v>
      </c>
      <c r="K23" s="49">
        <v>22</v>
      </c>
      <c r="L23" t="s">
        <v>2076</v>
      </c>
      <c r="M23" t="s">
        <v>3758</v>
      </c>
      <c r="N23" t="s">
        <v>3759</v>
      </c>
    </row>
    <row r="24" spans="1:14" ht="30" x14ac:dyDescent="0.25">
      <c r="A24" s="49">
        <v>22</v>
      </c>
      <c r="B24" s="49" t="s">
        <v>25</v>
      </c>
      <c r="C24" s="49" t="s">
        <v>241</v>
      </c>
      <c r="D24" s="49" t="s">
        <v>307</v>
      </c>
      <c r="E24" s="49">
        <v>-89.500200000000007</v>
      </c>
      <c r="F24" s="49">
        <v>44.146700000000003</v>
      </c>
      <c r="G24" s="49">
        <v>26</v>
      </c>
      <c r="H24" t="str">
        <f t="shared" si="0"/>
        <v>Dfb</v>
      </c>
      <c r="K24" s="49">
        <v>23</v>
      </c>
      <c r="L24" t="s">
        <v>1581</v>
      </c>
      <c r="M24" t="s">
        <v>3760</v>
      </c>
      <c r="N24" t="s">
        <v>3761</v>
      </c>
    </row>
    <row r="25" spans="1:14" ht="30" x14ac:dyDescent="0.25">
      <c r="A25" s="49">
        <v>23</v>
      </c>
      <c r="B25" s="49" t="s">
        <v>26</v>
      </c>
      <c r="C25" s="49" t="s">
        <v>229</v>
      </c>
      <c r="D25" s="49" t="s">
        <v>307</v>
      </c>
      <c r="E25" s="49">
        <v>-89.572699999999898</v>
      </c>
      <c r="F25" s="49">
        <v>44.139400000000002</v>
      </c>
      <c r="G25" s="49">
        <v>26</v>
      </c>
      <c r="H25" t="str">
        <f t="shared" si="0"/>
        <v>Dfb</v>
      </c>
      <c r="K25" s="49">
        <v>24</v>
      </c>
      <c r="L25" t="s">
        <v>670</v>
      </c>
      <c r="M25" t="s">
        <v>3762</v>
      </c>
      <c r="N25" t="s">
        <v>3763</v>
      </c>
    </row>
    <row r="26" spans="1:14" ht="30" x14ac:dyDescent="0.25">
      <c r="A26" s="49">
        <v>24</v>
      </c>
      <c r="B26" s="49" t="s">
        <v>27</v>
      </c>
      <c r="C26" s="49" t="s">
        <v>244</v>
      </c>
      <c r="D26" s="49" t="s">
        <v>307</v>
      </c>
      <c r="E26" s="49">
        <v>-89.5474999999999</v>
      </c>
      <c r="F26" s="49">
        <v>44.159700000000001</v>
      </c>
      <c r="G26" s="49">
        <v>26</v>
      </c>
      <c r="H26" t="str">
        <f t="shared" si="0"/>
        <v>Dfb</v>
      </c>
      <c r="K26" s="49">
        <v>25</v>
      </c>
      <c r="L26" t="s">
        <v>1175</v>
      </c>
      <c r="M26" t="s">
        <v>3764</v>
      </c>
      <c r="N26" t="s">
        <v>3765</v>
      </c>
    </row>
    <row r="27" spans="1:14" ht="30" x14ac:dyDescent="0.25">
      <c r="A27" s="49">
        <v>25</v>
      </c>
      <c r="B27" s="49" t="s">
        <v>28</v>
      </c>
      <c r="C27" s="49" t="s">
        <v>241</v>
      </c>
      <c r="D27" s="49" t="s">
        <v>307</v>
      </c>
      <c r="E27" s="49">
        <v>-89.711699999999894</v>
      </c>
      <c r="F27" s="49">
        <v>43.3447999999999</v>
      </c>
      <c r="G27" s="49">
        <v>25</v>
      </c>
      <c r="H27" t="str">
        <f t="shared" si="0"/>
        <v>Dfa</v>
      </c>
      <c r="K27" s="49">
        <v>26</v>
      </c>
      <c r="L27" t="s">
        <v>481</v>
      </c>
      <c r="M27" t="s">
        <v>3766</v>
      </c>
      <c r="N27" t="s">
        <v>3767</v>
      </c>
    </row>
    <row r="28" spans="1:14" ht="30" x14ac:dyDescent="0.25">
      <c r="A28" s="49">
        <v>26</v>
      </c>
      <c r="B28" s="49" t="s">
        <v>29</v>
      </c>
      <c r="C28" s="49" t="s">
        <v>245</v>
      </c>
      <c r="D28" s="49" t="s">
        <v>307</v>
      </c>
      <c r="E28" s="49">
        <v>-121.54900000000001</v>
      </c>
      <c r="F28" s="49">
        <v>38.1235</v>
      </c>
      <c r="G28" s="49">
        <v>8</v>
      </c>
      <c r="H28" t="str">
        <f t="shared" si="0"/>
        <v>Csa</v>
      </c>
      <c r="K28" s="49">
        <v>27</v>
      </c>
      <c r="L28" t="s">
        <v>539</v>
      </c>
      <c r="M28" t="s">
        <v>3768</v>
      </c>
      <c r="N28" t="s">
        <v>3769</v>
      </c>
    </row>
    <row r="29" spans="1:14" ht="30" x14ac:dyDescent="0.25">
      <c r="A29" s="49">
        <v>27</v>
      </c>
      <c r="B29" s="49" t="s">
        <v>30</v>
      </c>
      <c r="C29" s="49" t="s">
        <v>233</v>
      </c>
      <c r="D29" s="49" t="s">
        <v>307</v>
      </c>
      <c r="E29" s="49">
        <v>-122.114</v>
      </c>
      <c r="F29" s="49">
        <v>37.615600000000001</v>
      </c>
      <c r="G29" s="49">
        <v>9</v>
      </c>
      <c r="H29" t="str">
        <f t="shared" si="0"/>
        <v>Csb</v>
      </c>
      <c r="K29" s="49">
        <v>28</v>
      </c>
      <c r="L29" t="s">
        <v>1253</v>
      </c>
      <c r="M29" t="s">
        <v>3770</v>
      </c>
      <c r="N29" t="s">
        <v>3771</v>
      </c>
    </row>
    <row r="30" spans="1:14" ht="30" x14ac:dyDescent="0.25">
      <c r="A30" s="49">
        <v>28</v>
      </c>
      <c r="B30" s="49" t="s">
        <v>31</v>
      </c>
      <c r="C30" s="49" t="s">
        <v>246</v>
      </c>
      <c r="D30" s="49" t="s">
        <v>307</v>
      </c>
      <c r="E30" s="49">
        <v>-149.25360000000001</v>
      </c>
      <c r="F30" s="49">
        <v>63.8783999999999</v>
      </c>
      <c r="G30" s="49">
        <v>27</v>
      </c>
      <c r="H30" t="str">
        <f t="shared" si="0"/>
        <v>Dfc</v>
      </c>
      <c r="K30" s="49">
        <v>29</v>
      </c>
      <c r="L30" t="s">
        <v>680</v>
      </c>
      <c r="M30" t="s">
        <v>3772</v>
      </c>
      <c r="N30" t="s">
        <v>3773</v>
      </c>
    </row>
    <row r="31" spans="1:14" ht="30" x14ac:dyDescent="0.25">
      <c r="A31" s="49">
        <v>29</v>
      </c>
      <c r="B31" s="49" t="s">
        <v>32</v>
      </c>
      <c r="C31" s="49" t="s">
        <v>247</v>
      </c>
      <c r="D31" s="49" t="s">
        <v>307</v>
      </c>
      <c r="E31" s="49">
        <v>-106.23990000000001</v>
      </c>
      <c r="F31" s="49">
        <v>41.366500000000002</v>
      </c>
      <c r="G31" s="49">
        <v>27</v>
      </c>
      <c r="H31" t="str">
        <f t="shared" si="0"/>
        <v>Dfc</v>
      </c>
      <c r="K31" s="49">
        <v>30</v>
      </c>
      <c r="L31" t="s">
        <v>3774</v>
      </c>
      <c r="M31" t="s">
        <v>3775</v>
      </c>
      <c r="N31" t="s">
        <v>3776</v>
      </c>
    </row>
    <row r="32" spans="1:14" ht="30" x14ac:dyDescent="0.25">
      <c r="A32" s="49">
        <v>30</v>
      </c>
      <c r="B32" s="49" t="s">
        <v>33</v>
      </c>
      <c r="C32" s="49" t="s">
        <v>248</v>
      </c>
      <c r="D32" s="49" t="s">
        <v>307</v>
      </c>
      <c r="E32" s="49">
        <v>-72.171499999999895</v>
      </c>
      <c r="F32" s="49">
        <v>42.537799999999898</v>
      </c>
      <c r="G32" s="49">
        <v>26</v>
      </c>
      <c r="H32" t="str">
        <f t="shared" si="0"/>
        <v>Dfb</v>
      </c>
    </row>
    <row r="33" spans="1:8" ht="30" x14ac:dyDescent="0.25">
      <c r="A33" s="49">
        <v>31</v>
      </c>
      <c r="B33" s="49" t="s">
        <v>34</v>
      </c>
      <c r="C33" s="49" t="s">
        <v>249</v>
      </c>
      <c r="D33" s="49" t="s">
        <v>307</v>
      </c>
      <c r="E33" s="49">
        <v>-79.195700000000002</v>
      </c>
      <c r="F33" s="49">
        <v>33.345500000000001</v>
      </c>
      <c r="G33" s="49">
        <v>14</v>
      </c>
      <c r="H33" t="str">
        <f t="shared" si="0"/>
        <v>Cfa</v>
      </c>
    </row>
    <row r="34" spans="1:8" ht="30" x14ac:dyDescent="0.25">
      <c r="A34" s="49">
        <v>32</v>
      </c>
      <c r="B34" s="49" t="s">
        <v>35</v>
      </c>
      <c r="C34" s="49" t="s">
        <v>249</v>
      </c>
      <c r="D34" s="49" t="s">
        <v>307</v>
      </c>
      <c r="E34" s="49">
        <v>-79.244</v>
      </c>
      <c r="F34" s="49">
        <v>33.324199999999898</v>
      </c>
      <c r="G34" s="49">
        <v>14</v>
      </c>
      <c r="H34" t="str">
        <f t="shared" si="0"/>
        <v>Cfa</v>
      </c>
    </row>
    <row r="35" spans="1:8" ht="30" x14ac:dyDescent="0.25">
      <c r="A35" s="49">
        <v>33</v>
      </c>
      <c r="B35" s="49" t="s">
        <v>36</v>
      </c>
      <c r="C35" s="49" t="s">
        <v>250</v>
      </c>
      <c r="D35" s="49" t="s">
        <v>307</v>
      </c>
      <c r="E35" s="49">
        <v>-79.232200000000006</v>
      </c>
      <c r="F35" s="49">
        <v>33.348199999999899</v>
      </c>
      <c r="G35" s="49">
        <v>14</v>
      </c>
      <c r="H35" t="str">
        <f t="shared" si="0"/>
        <v>Cfa</v>
      </c>
    </row>
    <row r="36" spans="1:8" ht="30" x14ac:dyDescent="0.25">
      <c r="A36" s="49">
        <v>34</v>
      </c>
      <c r="B36" s="49" t="s">
        <v>37</v>
      </c>
      <c r="C36" s="49" t="s">
        <v>251</v>
      </c>
      <c r="D36" s="49" t="s">
        <v>307</v>
      </c>
      <c r="E36" s="49">
        <v>-119.4641</v>
      </c>
      <c r="F36" s="49">
        <v>46.688899999999897</v>
      </c>
      <c r="G36" s="49">
        <v>5</v>
      </c>
      <c r="H36" t="str">
        <f t="shared" si="0"/>
        <v>BWk</v>
      </c>
    </row>
    <row r="37" spans="1:8" ht="30" x14ac:dyDescent="0.25">
      <c r="A37" s="49">
        <v>35</v>
      </c>
      <c r="B37" s="49" t="s">
        <v>38</v>
      </c>
      <c r="C37" s="49" t="s">
        <v>252</v>
      </c>
      <c r="D37" s="49" t="s">
        <v>307</v>
      </c>
      <c r="E37" s="49">
        <v>-119.461399999999</v>
      </c>
      <c r="F37" s="49">
        <v>46.687800000000003</v>
      </c>
      <c r="G37" s="49">
        <v>5</v>
      </c>
      <c r="H37" t="str">
        <f t="shared" si="0"/>
        <v>BWk</v>
      </c>
    </row>
    <row r="38" spans="1:8" ht="30" x14ac:dyDescent="0.25">
      <c r="A38" s="49">
        <v>36</v>
      </c>
      <c r="B38" s="49" t="s">
        <v>39</v>
      </c>
      <c r="C38" s="49" t="s">
        <v>253</v>
      </c>
      <c r="D38" s="49" t="s">
        <v>307</v>
      </c>
      <c r="E38" s="49">
        <v>-68.747</v>
      </c>
      <c r="F38" s="49">
        <v>45.2090999999999</v>
      </c>
      <c r="G38" s="49">
        <v>26</v>
      </c>
      <c r="H38" t="str">
        <f t="shared" si="0"/>
        <v>Dfb</v>
      </c>
    </row>
    <row r="39" spans="1:8" ht="30" x14ac:dyDescent="0.25">
      <c r="A39" s="49">
        <v>37</v>
      </c>
      <c r="B39" s="49" t="s">
        <v>40</v>
      </c>
      <c r="C39" s="49" t="s">
        <v>251</v>
      </c>
      <c r="D39" s="49" t="s">
        <v>307</v>
      </c>
      <c r="E39" s="49">
        <v>-77.848799999999898</v>
      </c>
      <c r="F39" s="49">
        <v>40.860799999999898</v>
      </c>
      <c r="G39" s="49">
        <v>25</v>
      </c>
      <c r="H39" t="str">
        <f t="shared" si="0"/>
        <v>Dfa</v>
      </c>
    </row>
    <row r="40" spans="1:8" ht="30" x14ac:dyDescent="0.25">
      <c r="A40" s="49">
        <v>38</v>
      </c>
      <c r="B40" s="49" t="s">
        <v>41</v>
      </c>
      <c r="C40" s="49" t="s">
        <v>254</v>
      </c>
      <c r="D40" s="49" t="s">
        <v>307</v>
      </c>
      <c r="E40" s="49">
        <v>-149.29580000000001</v>
      </c>
      <c r="F40" s="49">
        <v>68.606800000000007</v>
      </c>
      <c r="G40" s="49">
        <v>27</v>
      </c>
      <c r="H40" t="str">
        <f t="shared" si="0"/>
        <v>Dfc</v>
      </c>
    </row>
    <row r="41" spans="1:8" ht="30" x14ac:dyDescent="0.25">
      <c r="A41" s="49">
        <v>39</v>
      </c>
      <c r="B41" s="49" t="s">
        <v>42</v>
      </c>
      <c r="C41" s="49" t="s">
        <v>232</v>
      </c>
      <c r="D41" s="49" t="s">
        <v>307</v>
      </c>
      <c r="E41" s="49">
        <v>-149.31100000000001</v>
      </c>
      <c r="F41" s="49">
        <v>68.605800000000002</v>
      </c>
      <c r="G41" s="49">
        <v>27</v>
      </c>
      <c r="H41" t="str">
        <f t="shared" si="0"/>
        <v>Dfc</v>
      </c>
    </row>
    <row r="42" spans="1:8" ht="30" x14ac:dyDescent="0.25">
      <c r="A42" s="49">
        <v>40</v>
      </c>
      <c r="B42" s="49" t="s">
        <v>43</v>
      </c>
      <c r="C42" s="49" t="s">
        <v>254</v>
      </c>
      <c r="D42" s="49" t="s">
        <v>307</v>
      </c>
      <c r="E42" s="49">
        <v>-149.30410000000001</v>
      </c>
      <c r="F42" s="49">
        <v>68.606300000000005</v>
      </c>
      <c r="G42" s="49">
        <v>27</v>
      </c>
      <c r="H42" t="str">
        <f t="shared" si="0"/>
        <v>Dfc</v>
      </c>
    </row>
    <row r="43" spans="1:8" ht="30" x14ac:dyDescent="0.25">
      <c r="A43" s="49">
        <v>41</v>
      </c>
      <c r="B43" s="49" t="s">
        <v>44</v>
      </c>
      <c r="C43" s="49" t="s">
        <v>255</v>
      </c>
      <c r="D43" s="49" t="s">
        <v>307</v>
      </c>
      <c r="E43" s="49">
        <v>-106.63500000000001</v>
      </c>
      <c r="F43" s="49">
        <v>32.582000000000001</v>
      </c>
      <c r="G43" s="49">
        <v>5</v>
      </c>
      <c r="H43" t="str">
        <f t="shared" si="0"/>
        <v>BWk</v>
      </c>
    </row>
    <row r="44" spans="1:8" ht="30" x14ac:dyDescent="0.25">
      <c r="A44" s="49">
        <v>42</v>
      </c>
      <c r="B44" s="49" t="s">
        <v>45</v>
      </c>
      <c r="C44" s="49" t="s">
        <v>255</v>
      </c>
      <c r="D44" s="49" t="s">
        <v>307</v>
      </c>
      <c r="E44" s="49">
        <v>-106.6032</v>
      </c>
      <c r="F44" s="49">
        <v>32.584899999999898</v>
      </c>
      <c r="G44" s="49">
        <v>5</v>
      </c>
      <c r="H44" t="str">
        <f t="shared" si="0"/>
        <v>BWk</v>
      </c>
    </row>
    <row r="45" spans="1:8" ht="30" x14ac:dyDescent="0.25">
      <c r="A45" s="49">
        <v>43</v>
      </c>
      <c r="B45" s="49" t="s">
        <v>46</v>
      </c>
      <c r="C45" s="49" t="s">
        <v>256</v>
      </c>
      <c r="D45" s="49" t="s">
        <v>307</v>
      </c>
      <c r="E45" s="49">
        <v>-95.190700000000007</v>
      </c>
      <c r="F45" s="49">
        <v>39.056100000000001</v>
      </c>
      <c r="G45" s="49">
        <v>25</v>
      </c>
      <c r="H45" t="str">
        <f t="shared" si="0"/>
        <v>Dfa</v>
      </c>
    </row>
    <row r="46" spans="1:8" ht="30" x14ac:dyDescent="0.25">
      <c r="A46" s="49">
        <v>44</v>
      </c>
      <c r="B46" s="49" t="s">
        <v>47</v>
      </c>
      <c r="C46" s="49" t="s">
        <v>257</v>
      </c>
      <c r="D46" s="49" t="s">
        <v>307</v>
      </c>
      <c r="E46" s="49">
        <v>-97.568399999999897</v>
      </c>
      <c r="F46" s="49">
        <v>38.774500000000003</v>
      </c>
      <c r="G46" s="49">
        <v>25</v>
      </c>
      <c r="H46" t="str">
        <f t="shared" si="0"/>
        <v>Dfa</v>
      </c>
    </row>
    <row r="47" spans="1:8" ht="30" x14ac:dyDescent="0.25">
      <c r="A47" s="49">
        <v>45</v>
      </c>
      <c r="B47" s="49" t="s">
        <v>48</v>
      </c>
      <c r="C47" s="49" t="s">
        <v>258</v>
      </c>
      <c r="D47" s="49" t="s">
        <v>307</v>
      </c>
      <c r="E47" s="49">
        <v>-96.560299999999899</v>
      </c>
      <c r="F47" s="49">
        <v>39.0824</v>
      </c>
      <c r="G47" s="49">
        <v>25</v>
      </c>
      <c r="H47" t="str">
        <f t="shared" si="0"/>
        <v>Dfa</v>
      </c>
    </row>
    <row r="48" spans="1:8" ht="30" x14ac:dyDescent="0.25">
      <c r="A48" s="49">
        <v>46</v>
      </c>
      <c r="B48" s="49" t="s">
        <v>49</v>
      </c>
      <c r="C48" s="49" t="s">
        <v>259</v>
      </c>
      <c r="D48" s="49" t="s">
        <v>307</v>
      </c>
      <c r="E48" s="49">
        <v>-80.7426999999999</v>
      </c>
      <c r="F48" s="49">
        <v>28.708400000000001</v>
      </c>
      <c r="G48" s="51">
        <v>14</v>
      </c>
      <c r="H48" t="str">
        <f t="shared" si="0"/>
        <v>Cfa</v>
      </c>
    </row>
    <row r="49" spans="1:8" ht="30" x14ac:dyDescent="0.25">
      <c r="A49" s="49">
        <v>47</v>
      </c>
      <c r="B49" s="49" t="s">
        <v>50</v>
      </c>
      <c r="C49" s="49" t="s">
        <v>260</v>
      </c>
      <c r="D49" s="49" t="s">
        <v>307</v>
      </c>
      <c r="E49" s="49">
        <v>-121.558899999999</v>
      </c>
      <c r="F49" s="49">
        <v>44.452599999999897</v>
      </c>
      <c r="G49" s="49">
        <v>18</v>
      </c>
      <c r="H49" t="str">
        <f t="shared" si="0"/>
        <v>Dsb</v>
      </c>
    </row>
    <row r="50" spans="1:8" ht="30" x14ac:dyDescent="0.25">
      <c r="A50" s="49">
        <v>48</v>
      </c>
      <c r="B50" s="49" t="s">
        <v>51</v>
      </c>
      <c r="C50" s="49" t="s">
        <v>242</v>
      </c>
      <c r="D50" s="49" t="s">
        <v>307</v>
      </c>
      <c r="E50" s="49">
        <v>-121.607799999999</v>
      </c>
      <c r="F50" s="49">
        <v>44.323300000000003</v>
      </c>
      <c r="G50" s="49">
        <v>9</v>
      </c>
      <c r="H50" t="str">
        <f t="shared" si="0"/>
        <v>Csb</v>
      </c>
    </row>
    <row r="51" spans="1:8" ht="30" x14ac:dyDescent="0.25">
      <c r="A51" s="49">
        <v>49</v>
      </c>
      <c r="B51" s="49" t="s">
        <v>52</v>
      </c>
      <c r="C51" s="49" t="s">
        <v>253</v>
      </c>
      <c r="D51" s="49" t="s">
        <v>307</v>
      </c>
      <c r="E51" s="49">
        <v>-86.4131</v>
      </c>
      <c r="F51" s="49">
        <v>39.3232</v>
      </c>
      <c r="G51" s="49">
        <v>25</v>
      </c>
      <c r="H51" t="str">
        <f t="shared" si="0"/>
        <v>Dfa</v>
      </c>
    </row>
    <row r="52" spans="1:8" ht="30" x14ac:dyDescent="0.25">
      <c r="A52" s="49">
        <v>50</v>
      </c>
      <c r="B52" s="49" t="s">
        <v>53</v>
      </c>
      <c r="C52" s="49" t="s">
        <v>234</v>
      </c>
      <c r="D52" s="49" t="s">
        <v>307</v>
      </c>
      <c r="E52" s="49">
        <v>-92.116699999999895</v>
      </c>
      <c r="F52" s="49">
        <v>39.229799999999898</v>
      </c>
      <c r="G52" s="49">
        <v>25</v>
      </c>
      <c r="H52" t="str">
        <f t="shared" si="0"/>
        <v>Dfa</v>
      </c>
    </row>
    <row r="53" spans="1:8" ht="30" x14ac:dyDescent="0.25">
      <c r="A53" s="49">
        <v>51</v>
      </c>
      <c r="B53" s="49" t="s">
        <v>54</v>
      </c>
      <c r="C53" s="49" t="s">
        <v>241</v>
      </c>
      <c r="D53" s="49" t="s">
        <v>307</v>
      </c>
      <c r="E53" s="49">
        <v>-91.994500000000002</v>
      </c>
      <c r="F53" s="49">
        <v>38.948799999999899</v>
      </c>
      <c r="G53" s="49">
        <v>25</v>
      </c>
      <c r="H53" t="str">
        <f t="shared" si="0"/>
        <v>Dfa</v>
      </c>
    </row>
    <row r="54" spans="1:8" ht="30" x14ac:dyDescent="0.25">
      <c r="A54" s="49">
        <v>52</v>
      </c>
      <c r="B54" s="49" t="s">
        <v>55</v>
      </c>
      <c r="C54" s="49" t="s">
        <v>237</v>
      </c>
      <c r="D54" s="49" t="s">
        <v>307</v>
      </c>
      <c r="E54" s="49">
        <v>-92.149699999999896</v>
      </c>
      <c r="F54" s="49">
        <v>39.231099999999898</v>
      </c>
      <c r="G54" s="49">
        <v>25</v>
      </c>
      <c r="H54" t="str">
        <f t="shared" si="0"/>
        <v>Dfa</v>
      </c>
    </row>
    <row r="55" spans="1:8" ht="30" x14ac:dyDescent="0.25">
      <c r="A55" s="49">
        <v>53</v>
      </c>
      <c r="B55" s="49" t="s">
        <v>56</v>
      </c>
      <c r="C55" s="49" t="s">
        <v>258</v>
      </c>
      <c r="D55" s="49" t="s">
        <v>307</v>
      </c>
      <c r="E55" s="49">
        <v>-92.2</v>
      </c>
      <c r="F55" s="49">
        <v>38.744100000000003</v>
      </c>
      <c r="G55" s="49">
        <v>25</v>
      </c>
      <c r="H55" t="str">
        <f t="shared" si="0"/>
        <v>Dfa</v>
      </c>
    </row>
    <row r="56" spans="1:8" ht="30" x14ac:dyDescent="0.25">
      <c r="A56" s="49">
        <v>54</v>
      </c>
      <c r="B56" s="49" t="s">
        <v>57</v>
      </c>
      <c r="C56" s="49" t="s">
        <v>246</v>
      </c>
      <c r="D56" s="49" t="s">
        <v>307</v>
      </c>
      <c r="E56" s="49">
        <v>-106.2377</v>
      </c>
      <c r="F56" s="49">
        <v>34.438499999999898</v>
      </c>
      <c r="G56" s="49">
        <v>7</v>
      </c>
      <c r="H56" t="str">
        <f t="shared" si="0"/>
        <v>BSk</v>
      </c>
    </row>
    <row r="57" spans="1:8" ht="30" x14ac:dyDescent="0.25">
      <c r="A57" s="49">
        <v>55</v>
      </c>
      <c r="B57" s="49" t="s">
        <v>58</v>
      </c>
      <c r="C57" s="49" t="s">
        <v>242</v>
      </c>
      <c r="D57" s="49" t="s">
        <v>307</v>
      </c>
      <c r="E57" s="49">
        <v>-121.765</v>
      </c>
      <c r="F57" s="49">
        <v>38.049900000000001</v>
      </c>
      <c r="G57" s="49">
        <v>8</v>
      </c>
      <c r="H57" t="str">
        <f t="shared" si="0"/>
        <v>Csa</v>
      </c>
    </row>
    <row r="58" spans="1:8" ht="30" x14ac:dyDescent="0.25">
      <c r="A58" s="49">
        <v>56</v>
      </c>
      <c r="B58" s="49" t="s">
        <v>59</v>
      </c>
      <c r="C58" s="49" t="s">
        <v>261</v>
      </c>
      <c r="D58" s="49" t="s">
        <v>307</v>
      </c>
      <c r="E58" s="49">
        <v>-76.656000000000006</v>
      </c>
      <c r="F58" s="49">
        <v>35.7989999999999</v>
      </c>
      <c r="G58" s="49">
        <v>14</v>
      </c>
      <c r="H58" t="str">
        <f t="shared" si="0"/>
        <v>Cfa</v>
      </c>
    </row>
    <row r="59" spans="1:8" ht="30" x14ac:dyDescent="0.25">
      <c r="A59" s="49">
        <v>57</v>
      </c>
      <c r="B59" s="49" t="s">
        <v>60</v>
      </c>
      <c r="C59" s="49" t="s">
        <v>262</v>
      </c>
      <c r="D59" s="49" t="s">
        <v>307</v>
      </c>
      <c r="E59" s="49">
        <v>-75.903800000000004</v>
      </c>
      <c r="F59" s="49">
        <v>35.7879</v>
      </c>
      <c r="G59" s="49">
        <v>14</v>
      </c>
      <c r="H59" t="str">
        <f t="shared" si="0"/>
        <v>Cfa</v>
      </c>
    </row>
    <row r="60" spans="1:8" ht="30" x14ac:dyDescent="0.25">
      <c r="A60" s="49">
        <v>58</v>
      </c>
      <c r="B60" s="49" t="s">
        <v>61</v>
      </c>
      <c r="C60" s="49" t="s">
        <v>263</v>
      </c>
      <c r="D60" s="49" t="s">
        <v>307</v>
      </c>
      <c r="E60" s="49">
        <v>-96.476600000000005</v>
      </c>
      <c r="F60" s="49">
        <v>41.165100000000002</v>
      </c>
      <c r="G60" s="49">
        <v>25</v>
      </c>
      <c r="H60" t="str">
        <f t="shared" si="0"/>
        <v>Dfa</v>
      </c>
    </row>
    <row r="61" spans="1:8" ht="30" x14ac:dyDescent="0.25">
      <c r="A61" s="49">
        <v>59</v>
      </c>
      <c r="B61" s="49" t="s">
        <v>62</v>
      </c>
      <c r="C61" s="49" t="s">
        <v>257</v>
      </c>
      <c r="D61" s="49" t="s">
        <v>307</v>
      </c>
      <c r="E61" s="49">
        <v>-156.60919999999899</v>
      </c>
      <c r="F61" s="49">
        <v>71.28</v>
      </c>
      <c r="G61" s="49">
        <v>29</v>
      </c>
      <c r="H61" t="str">
        <f t="shared" si="0"/>
        <v>ET</v>
      </c>
    </row>
    <row r="62" spans="1:8" ht="30" x14ac:dyDescent="0.25">
      <c r="A62" s="49">
        <v>60</v>
      </c>
      <c r="B62" s="49" t="s">
        <v>63</v>
      </c>
      <c r="C62" s="49" t="s">
        <v>264</v>
      </c>
      <c r="D62" s="49" t="s">
        <v>307</v>
      </c>
      <c r="E62" s="49">
        <v>-163.700199999999</v>
      </c>
      <c r="F62" s="49">
        <v>64.861800000000002</v>
      </c>
      <c r="G62" s="49">
        <v>27</v>
      </c>
      <c r="H62" t="str">
        <f t="shared" si="0"/>
        <v>Dfc</v>
      </c>
    </row>
    <row r="63" spans="1:8" ht="30" x14ac:dyDescent="0.25">
      <c r="A63" s="49">
        <v>61</v>
      </c>
      <c r="B63" s="49" t="s">
        <v>64</v>
      </c>
      <c r="C63" s="49" t="s">
        <v>231</v>
      </c>
      <c r="D63" s="49" t="s">
        <v>307</v>
      </c>
      <c r="E63" s="49">
        <v>-81.950900000000004</v>
      </c>
      <c r="F63" s="49">
        <v>27.383600000000001</v>
      </c>
      <c r="G63" s="49">
        <v>14</v>
      </c>
      <c r="H63" t="str">
        <f t="shared" si="0"/>
        <v>Cfa</v>
      </c>
    </row>
    <row r="64" spans="1:8" ht="30" x14ac:dyDescent="0.25">
      <c r="A64" s="49">
        <v>62</v>
      </c>
      <c r="B64" s="49" t="s">
        <v>65</v>
      </c>
      <c r="C64" s="49" t="s">
        <v>237</v>
      </c>
      <c r="D64" s="49" t="s">
        <v>307</v>
      </c>
      <c r="E64" s="49">
        <v>-89.415800000000004</v>
      </c>
      <c r="F64" s="49">
        <v>43.089599999999898</v>
      </c>
      <c r="G64" s="49">
        <v>25</v>
      </c>
      <c r="H64" t="str">
        <f t="shared" si="0"/>
        <v>Dfa</v>
      </c>
    </row>
    <row r="65" spans="1:8" ht="30" x14ac:dyDescent="0.25">
      <c r="A65" s="49">
        <v>63</v>
      </c>
      <c r="B65" s="49" t="s">
        <v>66</v>
      </c>
      <c r="C65" s="49" t="s">
        <v>245</v>
      </c>
      <c r="D65" s="49" t="s">
        <v>307</v>
      </c>
      <c r="E65" s="49">
        <v>-91.673299999999898</v>
      </c>
      <c r="F65" s="49">
        <v>34.415900000000001</v>
      </c>
      <c r="G65" s="49">
        <v>14</v>
      </c>
      <c r="H65" t="str">
        <f t="shared" si="0"/>
        <v>Cfa</v>
      </c>
    </row>
    <row r="66" spans="1:8" ht="30" x14ac:dyDescent="0.25">
      <c r="A66" s="49">
        <v>64</v>
      </c>
      <c r="B66" s="49" t="s">
        <v>67</v>
      </c>
      <c r="C66" s="49" t="s">
        <v>245</v>
      </c>
      <c r="D66" s="49" t="s">
        <v>307</v>
      </c>
      <c r="E66" s="49">
        <v>-121.8579</v>
      </c>
      <c r="F66" s="49">
        <v>39.578200000000002</v>
      </c>
      <c r="G66" s="49">
        <v>8</v>
      </c>
      <c r="H66" t="str">
        <f t="shared" si="0"/>
        <v>Csa</v>
      </c>
    </row>
    <row r="67" spans="1:8" ht="30" x14ac:dyDescent="0.25">
      <c r="A67" s="49">
        <v>65</v>
      </c>
      <c r="B67" s="49" t="s">
        <v>68</v>
      </c>
      <c r="C67" s="49" t="s">
        <v>245</v>
      </c>
      <c r="D67" s="49" t="s">
        <v>307</v>
      </c>
      <c r="E67" s="49">
        <v>-122.0026</v>
      </c>
      <c r="F67" s="49">
        <v>39.680500000000002</v>
      </c>
      <c r="G67" s="49">
        <v>8</v>
      </c>
      <c r="H67" t="str">
        <f t="shared" ref="H67:H130" si="1">VLOOKUP(G67,$K$2:$L$31,2)</f>
        <v>Csa</v>
      </c>
    </row>
    <row r="68" spans="1:8" ht="30" x14ac:dyDescent="0.25">
      <c r="A68" s="49">
        <v>66</v>
      </c>
      <c r="B68" s="49" t="s">
        <v>69</v>
      </c>
      <c r="C68" s="49" t="s">
        <v>265</v>
      </c>
      <c r="D68" s="49" t="s">
        <v>307</v>
      </c>
      <c r="E68" s="49">
        <v>-116.73560000000001</v>
      </c>
      <c r="F68" s="49">
        <v>43.143900000000002</v>
      </c>
      <c r="G68" s="49">
        <v>7</v>
      </c>
      <c r="H68" t="str">
        <f t="shared" si="1"/>
        <v>BSk</v>
      </c>
    </row>
    <row r="69" spans="1:8" ht="30" x14ac:dyDescent="0.25">
      <c r="A69" s="49">
        <v>67</v>
      </c>
      <c r="B69" s="49" t="s">
        <v>70</v>
      </c>
      <c r="C69" s="49" t="s">
        <v>230</v>
      </c>
      <c r="D69" s="49" t="s">
        <v>307</v>
      </c>
      <c r="E69" s="49">
        <v>-116.748599999999</v>
      </c>
      <c r="F69" s="49">
        <v>43.064500000000002</v>
      </c>
      <c r="G69" s="49">
        <v>18</v>
      </c>
      <c r="H69" t="str">
        <f t="shared" si="1"/>
        <v>Dsb</v>
      </c>
    </row>
    <row r="70" spans="1:8" ht="30" x14ac:dyDescent="0.25">
      <c r="A70" s="49">
        <v>68</v>
      </c>
      <c r="B70" s="49" t="s">
        <v>71</v>
      </c>
      <c r="C70" s="49" t="s">
        <v>265</v>
      </c>
      <c r="D70" s="49" t="s">
        <v>307</v>
      </c>
      <c r="E70" s="49">
        <v>-93.072299999999899</v>
      </c>
      <c r="F70" s="49">
        <v>44.678100000000001</v>
      </c>
      <c r="G70" s="49">
        <v>25</v>
      </c>
      <c r="H70" t="str">
        <f t="shared" si="1"/>
        <v>Dfa</v>
      </c>
    </row>
    <row r="71" spans="1:8" ht="30" x14ac:dyDescent="0.25">
      <c r="A71" s="49">
        <v>69</v>
      </c>
      <c r="B71" s="49" t="s">
        <v>72</v>
      </c>
      <c r="C71" s="49" t="s">
        <v>243</v>
      </c>
      <c r="D71" s="49" t="s">
        <v>307</v>
      </c>
      <c r="E71" s="49">
        <v>-93.057599999999894</v>
      </c>
      <c r="F71" s="49">
        <v>44.691000000000003</v>
      </c>
      <c r="G71" s="49">
        <v>25</v>
      </c>
      <c r="H71" t="str">
        <f t="shared" si="1"/>
        <v>Dfa</v>
      </c>
    </row>
    <row r="72" spans="1:8" ht="30" x14ac:dyDescent="0.25">
      <c r="A72" s="49">
        <v>70</v>
      </c>
      <c r="B72" s="49" t="s">
        <v>73</v>
      </c>
      <c r="C72" s="49" t="s">
        <v>238</v>
      </c>
      <c r="D72" s="49" t="s">
        <v>307</v>
      </c>
      <c r="E72" s="49">
        <v>-93.0578</v>
      </c>
      <c r="F72" s="49">
        <v>44.694600000000001</v>
      </c>
      <c r="G72" s="49">
        <v>25</v>
      </c>
      <c r="H72" t="str">
        <f t="shared" si="1"/>
        <v>Dfa</v>
      </c>
    </row>
    <row r="73" spans="1:8" ht="30" x14ac:dyDescent="0.25">
      <c r="A73" s="49">
        <v>71</v>
      </c>
      <c r="B73" s="49" t="s">
        <v>74</v>
      </c>
      <c r="C73" s="49" t="s">
        <v>266</v>
      </c>
      <c r="D73" s="49" t="s">
        <v>307</v>
      </c>
      <c r="E73" s="49">
        <v>-147.429</v>
      </c>
      <c r="F73" s="49">
        <v>65.119799999999898</v>
      </c>
      <c r="G73" s="49">
        <v>27</v>
      </c>
      <c r="H73" t="str">
        <f t="shared" si="1"/>
        <v>Dfc</v>
      </c>
    </row>
    <row r="74" spans="1:8" ht="30" x14ac:dyDescent="0.25">
      <c r="A74" s="49">
        <v>72</v>
      </c>
      <c r="B74" s="49" t="s">
        <v>75</v>
      </c>
      <c r="C74" s="49" t="s">
        <v>230</v>
      </c>
      <c r="D74" s="49" t="s">
        <v>307</v>
      </c>
      <c r="E74" s="49">
        <v>-116.7231</v>
      </c>
      <c r="F74" s="49">
        <v>43.1206999999999</v>
      </c>
      <c r="G74" s="49">
        <v>18</v>
      </c>
      <c r="H74" t="str">
        <f t="shared" si="1"/>
        <v>Dsb</v>
      </c>
    </row>
    <row r="75" spans="1:8" ht="30" x14ac:dyDescent="0.25">
      <c r="A75" s="49">
        <v>73</v>
      </c>
      <c r="B75" s="49" t="s">
        <v>76</v>
      </c>
      <c r="C75" s="49" t="s">
        <v>230</v>
      </c>
      <c r="D75" s="49" t="s">
        <v>307</v>
      </c>
      <c r="E75" s="49">
        <v>-116.7132</v>
      </c>
      <c r="F75" s="49">
        <v>43.167499999999897</v>
      </c>
      <c r="G75" s="49">
        <v>7</v>
      </c>
      <c r="H75" t="str">
        <f t="shared" si="1"/>
        <v>BSk</v>
      </c>
    </row>
    <row r="76" spans="1:8" ht="30" x14ac:dyDescent="0.25">
      <c r="A76" s="49">
        <v>74</v>
      </c>
      <c r="B76" s="49" t="s">
        <v>77</v>
      </c>
      <c r="C76" s="49" t="s">
        <v>254</v>
      </c>
      <c r="D76" s="49" t="s">
        <v>307</v>
      </c>
      <c r="E76" s="49">
        <v>-106.701999999999</v>
      </c>
      <c r="F76" s="49">
        <v>34.362299999999898</v>
      </c>
      <c r="G76" s="49">
        <v>5</v>
      </c>
      <c r="H76" t="str">
        <f t="shared" si="1"/>
        <v>BWk</v>
      </c>
    </row>
    <row r="77" spans="1:8" ht="30" x14ac:dyDescent="0.25">
      <c r="A77" s="49">
        <v>75</v>
      </c>
      <c r="B77" s="49" t="s">
        <v>78</v>
      </c>
      <c r="C77" s="49" t="s">
        <v>254</v>
      </c>
      <c r="D77" s="49" t="s">
        <v>307</v>
      </c>
      <c r="E77" s="49">
        <v>-106.74420000000001</v>
      </c>
      <c r="F77" s="49">
        <v>34.334899999999898</v>
      </c>
      <c r="G77" s="49">
        <v>5</v>
      </c>
      <c r="H77" t="str">
        <f t="shared" si="1"/>
        <v>BWk</v>
      </c>
    </row>
    <row r="78" spans="1:8" ht="30" x14ac:dyDescent="0.25">
      <c r="A78" s="49">
        <v>76</v>
      </c>
      <c r="B78" s="49" t="s">
        <v>79</v>
      </c>
      <c r="C78" s="49" t="s">
        <v>239</v>
      </c>
      <c r="D78" s="49" t="s">
        <v>307</v>
      </c>
      <c r="E78" s="49">
        <v>-121.7547</v>
      </c>
      <c r="F78" s="49">
        <v>38.036900000000003</v>
      </c>
      <c r="G78" s="49">
        <v>8</v>
      </c>
      <c r="H78" t="str">
        <f t="shared" si="1"/>
        <v>Csa</v>
      </c>
    </row>
    <row r="79" spans="1:8" ht="30" x14ac:dyDescent="0.25">
      <c r="A79" s="49">
        <v>77</v>
      </c>
      <c r="B79" s="49" t="s">
        <v>80</v>
      </c>
      <c r="C79" s="49" t="s">
        <v>267</v>
      </c>
      <c r="D79" s="49" t="s">
        <v>307</v>
      </c>
      <c r="E79" s="49">
        <v>-121.727199999999</v>
      </c>
      <c r="F79" s="49">
        <v>38.040199999999899</v>
      </c>
      <c r="G79" s="49">
        <v>8</v>
      </c>
      <c r="H79" t="str">
        <f t="shared" si="1"/>
        <v>Csa</v>
      </c>
    </row>
    <row r="80" spans="1:8" ht="30" x14ac:dyDescent="0.25">
      <c r="A80" s="49">
        <v>78</v>
      </c>
      <c r="B80" s="49" t="s">
        <v>81</v>
      </c>
      <c r="C80" s="49" t="s">
        <v>266</v>
      </c>
      <c r="D80" s="49" t="s">
        <v>307</v>
      </c>
      <c r="E80" s="49">
        <v>-110.827699999999</v>
      </c>
      <c r="F80" s="49">
        <v>31.789400000000001</v>
      </c>
      <c r="G80" s="49">
        <v>6</v>
      </c>
      <c r="H80" t="str">
        <f t="shared" si="1"/>
        <v>BSh</v>
      </c>
    </row>
    <row r="81" spans="1:8" ht="30" x14ac:dyDescent="0.25">
      <c r="A81" s="49">
        <v>79</v>
      </c>
      <c r="B81" s="49" t="s">
        <v>82</v>
      </c>
      <c r="C81" s="49" t="s">
        <v>268</v>
      </c>
      <c r="D81" s="49" t="s">
        <v>307</v>
      </c>
      <c r="E81" s="49">
        <v>-110.85080000000001</v>
      </c>
      <c r="F81" s="49">
        <v>31.8172999999999</v>
      </c>
      <c r="G81" s="49">
        <v>6</v>
      </c>
      <c r="H81" t="str">
        <f t="shared" si="1"/>
        <v>BSh</v>
      </c>
    </row>
    <row r="82" spans="1:8" ht="30" x14ac:dyDescent="0.25">
      <c r="A82" s="49">
        <v>80</v>
      </c>
      <c r="B82" s="49" t="s">
        <v>83</v>
      </c>
      <c r="C82" s="49" t="s">
        <v>269</v>
      </c>
      <c r="D82" s="49" t="s">
        <v>307</v>
      </c>
      <c r="E82" s="49">
        <v>-89.347700000000003</v>
      </c>
      <c r="F82" s="49">
        <v>46.241999999999898</v>
      </c>
      <c r="G82" s="49">
        <v>26</v>
      </c>
      <c r="H82" t="str">
        <f t="shared" si="1"/>
        <v>Dfb</v>
      </c>
    </row>
    <row r="83" spans="1:8" ht="30" x14ac:dyDescent="0.25">
      <c r="A83" s="49">
        <v>81</v>
      </c>
      <c r="B83" s="49" t="s">
        <v>84</v>
      </c>
      <c r="C83" s="49" t="s">
        <v>269</v>
      </c>
      <c r="D83" s="49" t="s">
        <v>307</v>
      </c>
      <c r="E83" s="49">
        <v>-120.965999999999</v>
      </c>
      <c r="F83" s="49">
        <v>38.430900000000001</v>
      </c>
      <c r="G83" s="49">
        <v>8</v>
      </c>
      <c r="H83" t="str">
        <f t="shared" si="1"/>
        <v>Csa</v>
      </c>
    </row>
    <row r="84" spans="1:8" ht="30" x14ac:dyDescent="0.25">
      <c r="A84" s="49">
        <v>82</v>
      </c>
      <c r="B84" s="49" t="s">
        <v>85</v>
      </c>
      <c r="C84" s="49" t="s">
        <v>270</v>
      </c>
      <c r="D84" s="49" t="s">
        <v>307</v>
      </c>
      <c r="E84" s="49">
        <v>-121.6469</v>
      </c>
      <c r="F84" s="49">
        <v>38.107399999999899</v>
      </c>
      <c r="G84" s="49">
        <v>8</v>
      </c>
      <c r="H84" t="str">
        <f t="shared" si="1"/>
        <v>Csa</v>
      </c>
    </row>
    <row r="85" spans="1:8" ht="30" x14ac:dyDescent="0.25">
      <c r="A85" s="49">
        <v>83</v>
      </c>
      <c r="B85" s="49" t="s">
        <v>86</v>
      </c>
      <c r="C85" s="49" t="s">
        <v>271</v>
      </c>
      <c r="D85" s="49" t="s">
        <v>307</v>
      </c>
      <c r="E85" s="49">
        <v>-121.6469</v>
      </c>
      <c r="F85" s="49">
        <v>38.115200000000002</v>
      </c>
      <c r="G85" s="49">
        <v>8</v>
      </c>
      <c r="H85" t="str">
        <f t="shared" si="1"/>
        <v>Csa</v>
      </c>
    </row>
    <row r="86" spans="1:8" ht="30" x14ac:dyDescent="0.25">
      <c r="A86" s="49">
        <v>84</v>
      </c>
      <c r="B86" s="49" t="s">
        <v>87</v>
      </c>
      <c r="C86" s="49" t="s">
        <v>261</v>
      </c>
      <c r="D86" s="49" t="s">
        <v>307</v>
      </c>
      <c r="E86" s="49">
        <v>-121.6413</v>
      </c>
      <c r="F86" s="49">
        <v>38.102699999999899</v>
      </c>
      <c r="G86" s="49">
        <v>8</v>
      </c>
      <c r="H86" t="str">
        <f t="shared" si="1"/>
        <v>Csa</v>
      </c>
    </row>
    <row r="87" spans="1:8" ht="30" x14ac:dyDescent="0.25">
      <c r="A87" s="49">
        <v>85</v>
      </c>
      <c r="B87" s="49" t="s">
        <v>88</v>
      </c>
      <c r="C87" s="49" t="s">
        <v>233</v>
      </c>
      <c r="D87" s="49" t="s">
        <v>307</v>
      </c>
      <c r="E87" s="49">
        <v>-121.6426</v>
      </c>
      <c r="F87" s="49">
        <v>38.107199999999899</v>
      </c>
      <c r="G87" s="49">
        <v>8</v>
      </c>
      <c r="H87" t="str">
        <f t="shared" si="1"/>
        <v>Csa</v>
      </c>
    </row>
    <row r="88" spans="1:8" ht="30" x14ac:dyDescent="0.25">
      <c r="A88" s="49">
        <v>86</v>
      </c>
      <c r="B88" s="49" t="s">
        <v>89</v>
      </c>
      <c r="C88" s="49" t="s">
        <v>254</v>
      </c>
      <c r="D88" s="49" t="s">
        <v>307</v>
      </c>
      <c r="E88" s="49">
        <v>-84.713800000000006</v>
      </c>
      <c r="F88" s="49">
        <v>45.559800000000003</v>
      </c>
      <c r="G88" s="49">
        <v>26</v>
      </c>
      <c r="H88" t="str">
        <f t="shared" si="1"/>
        <v>Dfb</v>
      </c>
    </row>
    <row r="89" spans="1:8" ht="30" x14ac:dyDescent="0.25">
      <c r="A89" s="49">
        <v>87</v>
      </c>
      <c r="B89" s="49" t="s">
        <v>90</v>
      </c>
      <c r="C89" s="49" t="s">
        <v>254</v>
      </c>
      <c r="D89" s="49" t="s">
        <v>307</v>
      </c>
      <c r="E89" s="49">
        <v>-84.697500000000005</v>
      </c>
      <c r="F89" s="49">
        <v>45.5625</v>
      </c>
      <c r="G89" s="49">
        <v>26</v>
      </c>
      <c r="H89" t="str">
        <f t="shared" si="1"/>
        <v>Dfb</v>
      </c>
    </row>
    <row r="90" spans="1:8" ht="30" x14ac:dyDescent="0.25">
      <c r="A90" s="49">
        <v>88</v>
      </c>
      <c r="B90" s="49" t="s">
        <v>91</v>
      </c>
      <c r="C90" s="49" t="s">
        <v>272</v>
      </c>
      <c r="D90" s="49" t="s">
        <v>307</v>
      </c>
      <c r="E90" s="49">
        <v>-120.9508</v>
      </c>
      <c r="F90" s="49">
        <v>38.4133</v>
      </c>
      <c r="G90" s="49">
        <v>8</v>
      </c>
      <c r="H90" t="str">
        <f t="shared" si="1"/>
        <v>Csa</v>
      </c>
    </row>
    <row r="91" spans="1:8" ht="30" x14ac:dyDescent="0.25">
      <c r="A91" s="49">
        <v>89</v>
      </c>
      <c r="B91" s="49" t="s">
        <v>92</v>
      </c>
      <c r="C91" s="49" t="s">
        <v>254</v>
      </c>
      <c r="D91" s="49" t="s">
        <v>307</v>
      </c>
      <c r="E91" s="49">
        <v>-106.5321</v>
      </c>
      <c r="F91" s="49">
        <v>35.888399999999898</v>
      </c>
      <c r="G91" s="49">
        <v>26</v>
      </c>
      <c r="H91" t="str">
        <f t="shared" si="1"/>
        <v>Dfb</v>
      </c>
    </row>
    <row r="92" spans="1:8" ht="30" x14ac:dyDescent="0.25">
      <c r="A92" s="49">
        <v>90</v>
      </c>
      <c r="B92" s="49" t="s">
        <v>93</v>
      </c>
      <c r="C92" s="49" t="s">
        <v>254</v>
      </c>
      <c r="D92" s="49" t="s">
        <v>307</v>
      </c>
      <c r="E92" s="49">
        <v>-106.596699999999</v>
      </c>
      <c r="F92" s="49">
        <v>35.864199999999897</v>
      </c>
      <c r="G92" s="49">
        <v>26</v>
      </c>
      <c r="H92" t="str">
        <f t="shared" si="1"/>
        <v>Dfb</v>
      </c>
    </row>
    <row r="93" spans="1:8" ht="30" x14ac:dyDescent="0.25">
      <c r="A93" s="49">
        <v>91</v>
      </c>
      <c r="B93" s="49" t="s">
        <v>94</v>
      </c>
      <c r="C93" s="49" t="s">
        <v>232</v>
      </c>
      <c r="D93" s="49" t="s">
        <v>307</v>
      </c>
      <c r="E93" s="49">
        <v>-110.052199999999</v>
      </c>
      <c r="F93" s="49">
        <v>31.7438</v>
      </c>
      <c r="G93" s="49">
        <v>7</v>
      </c>
      <c r="H93" t="str">
        <f t="shared" si="1"/>
        <v>BSk</v>
      </c>
    </row>
    <row r="94" spans="1:8" ht="30" x14ac:dyDescent="0.25">
      <c r="A94" s="49">
        <v>92</v>
      </c>
      <c r="B94" s="49" t="s">
        <v>95</v>
      </c>
      <c r="C94" s="49" t="s">
        <v>273</v>
      </c>
      <c r="D94" s="49" t="s">
        <v>307</v>
      </c>
      <c r="E94" s="49">
        <v>-91.081400000000002</v>
      </c>
      <c r="F94" s="49">
        <v>46.6188</v>
      </c>
      <c r="G94" s="49">
        <v>26</v>
      </c>
      <c r="H94" t="str">
        <f t="shared" si="1"/>
        <v>Dfb</v>
      </c>
    </row>
    <row r="95" spans="1:8" ht="30" x14ac:dyDescent="0.25">
      <c r="A95" s="49">
        <v>93</v>
      </c>
      <c r="B95" s="49" t="s">
        <v>96</v>
      </c>
      <c r="C95" s="49" t="s">
        <v>254</v>
      </c>
      <c r="D95" s="49" t="s">
        <v>307</v>
      </c>
      <c r="E95" s="49">
        <v>-105.86150000000001</v>
      </c>
      <c r="F95" s="49">
        <v>34.4255</v>
      </c>
      <c r="G95" s="49">
        <v>7</v>
      </c>
      <c r="H95" t="str">
        <f t="shared" si="1"/>
        <v>BSk</v>
      </c>
    </row>
    <row r="96" spans="1:8" ht="30" x14ac:dyDescent="0.25">
      <c r="A96" s="49">
        <v>94</v>
      </c>
      <c r="B96" s="49" t="s">
        <v>97</v>
      </c>
      <c r="C96" s="49" t="s">
        <v>236</v>
      </c>
      <c r="D96" s="49" t="s">
        <v>307</v>
      </c>
      <c r="E96" s="49">
        <v>-109.9419</v>
      </c>
      <c r="F96" s="49">
        <v>31.7364999999999</v>
      </c>
      <c r="G96" s="49">
        <v>7</v>
      </c>
      <c r="H96" t="str">
        <f t="shared" si="1"/>
        <v>BSk</v>
      </c>
    </row>
    <row r="97" spans="1:8" ht="30" x14ac:dyDescent="0.25">
      <c r="A97" s="49">
        <v>95</v>
      </c>
      <c r="B97" s="49" t="s">
        <v>98</v>
      </c>
      <c r="C97" s="49" t="s">
        <v>250</v>
      </c>
      <c r="D97" s="49" t="s">
        <v>307</v>
      </c>
      <c r="E97" s="49">
        <v>-122.330299999999</v>
      </c>
      <c r="F97" s="49">
        <v>45.7624</v>
      </c>
      <c r="G97" s="49">
        <v>9</v>
      </c>
      <c r="H97" t="str">
        <f t="shared" si="1"/>
        <v>Csb</v>
      </c>
    </row>
    <row r="98" spans="1:8" ht="30" x14ac:dyDescent="0.25">
      <c r="A98" s="49">
        <v>96</v>
      </c>
      <c r="B98" s="49" t="s">
        <v>99</v>
      </c>
      <c r="C98" s="49" t="s">
        <v>238</v>
      </c>
      <c r="D98" s="49" t="s">
        <v>307</v>
      </c>
      <c r="E98" s="49">
        <v>-99.058800000000005</v>
      </c>
      <c r="F98" s="49">
        <v>35.410600000000002</v>
      </c>
      <c r="G98" s="49">
        <v>14</v>
      </c>
      <c r="H98" t="str">
        <f t="shared" si="1"/>
        <v>Cfa</v>
      </c>
    </row>
    <row r="99" spans="1:8" ht="30" x14ac:dyDescent="0.25">
      <c r="A99" s="49">
        <v>97</v>
      </c>
      <c r="B99" s="49" t="s">
        <v>100</v>
      </c>
      <c r="C99" s="49" t="s">
        <v>250</v>
      </c>
      <c r="D99" s="49" t="s">
        <v>307</v>
      </c>
      <c r="E99" s="49">
        <v>-156.61940000000001</v>
      </c>
      <c r="F99" s="49">
        <v>71.282399999999896</v>
      </c>
      <c r="G99" s="49">
        <v>29</v>
      </c>
      <c r="H99" t="str">
        <f t="shared" si="1"/>
        <v>ET</v>
      </c>
    </row>
    <row r="100" spans="1:8" ht="30" x14ac:dyDescent="0.25">
      <c r="A100" s="49">
        <v>98</v>
      </c>
      <c r="B100" s="49" t="s">
        <v>101</v>
      </c>
      <c r="C100" s="49" t="s">
        <v>250</v>
      </c>
      <c r="D100" s="49" t="s">
        <v>307</v>
      </c>
      <c r="E100" s="49">
        <v>-78.071600000000004</v>
      </c>
      <c r="F100" s="49">
        <v>39.060299999999899</v>
      </c>
      <c r="G100" s="49">
        <v>14</v>
      </c>
      <c r="H100" t="str">
        <f t="shared" si="1"/>
        <v>Cfa</v>
      </c>
    </row>
    <row r="101" spans="1:8" ht="30" x14ac:dyDescent="0.25">
      <c r="A101" s="49">
        <v>99</v>
      </c>
      <c r="B101" s="49" t="s">
        <v>102</v>
      </c>
      <c r="C101" s="49" t="s">
        <v>250</v>
      </c>
      <c r="D101" s="49" t="s">
        <v>307</v>
      </c>
      <c r="E101" s="49">
        <v>-147.5026</v>
      </c>
      <c r="F101" s="49">
        <v>65.153999999999897</v>
      </c>
      <c r="G101" s="49">
        <v>27</v>
      </c>
      <c r="H101" t="str">
        <f t="shared" si="1"/>
        <v>Dfc</v>
      </c>
    </row>
    <row r="102" spans="1:8" ht="30" x14ac:dyDescent="0.25">
      <c r="A102" s="49">
        <v>100</v>
      </c>
      <c r="B102" s="49" t="s">
        <v>103</v>
      </c>
      <c r="C102" s="49" t="s">
        <v>238</v>
      </c>
      <c r="D102" s="49" t="s">
        <v>307</v>
      </c>
      <c r="E102" s="49">
        <v>-71.287300000000002</v>
      </c>
      <c r="F102" s="49">
        <v>44.063899999999897</v>
      </c>
      <c r="G102" s="49">
        <v>26</v>
      </c>
      <c r="H102" t="str">
        <f t="shared" si="1"/>
        <v>Dfb</v>
      </c>
    </row>
    <row r="103" spans="1:8" ht="30" x14ac:dyDescent="0.25">
      <c r="A103" s="49">
        <v>101</v>
      </c>
      <c r="B103" s="49" t="s">
        <v>104</v>
      </c>
      <c r="C103" s="49" t="s">
        <v>238</v>
      </c>
      <c r="D103" s="49" t="s">
        <v>307</v>
      </c>
      <c r="E103" s="49">
        <v>-97.569999999999894</v>
      </c>
      <c r="F103" s="49">
        <v>33.401200000000003</v>
      </c>
      <c r="G103" s="49">
        <v>14</v>
      </c>
      <c r="H103" t="str">
        <f t="shared" si="1"/>
        <v>Cfa</v>
      </c>
    </row>
    <row r="104" spans="1:8" ht="30" x14ac:dyDescent="0.25">
      <c r="A104" s="49">
        <v>102</v>
      </c>
      <c r="B104" s="49" t="s">
        <v>105</v>
      </c>
      <c r="C104" s="49" t="s">
        <v>237</v>
      </c>
      <c r="D104" s="49" t="s">
        <v>307</v>
      </c>
      <c r="E104" s="49">
        <v>-104.745599999999</v>
      </c>
      <c r="F104" s="49">
        <v>40.8155</v>
      </c>
      <c r="G104" s="49">
        <v>7</v>
      </c>
      <c r="H104" t="str">
        <f t="shared" si="1"/>
        <v>BSk</v>
      </c>
    </row>
    <row r="105" spans="1:8" ht="30" x14ac:dyDescent="0.25">
      <c r="A105" s="49">
        <v>103</v>
      </c>
      <c r="B105" s="49" t="s">
        <v>106</v>
      </c>
      <c r="C105" s="49" t="s">
        <v>238</v>
      </c>
      <c r="D105" s="49" t="s">
        <v>307</v>
      </c>
      <c r="E105" s="49">
        <v>-99.1066</v>
      </c>
      <c r="F105" s="49">
        <v>47.161700000000003</v>
      </c>
      <c r="G105" s="49">
        <v>22</v>
      </c>
      <c r="H105" t="str">
        <f t="shared" si="1"/>
        <v>Dwb</v>
      </c>
    </row>
    <row r="106" spans="1:8" ht="30" x14ac:dyDescent="0.25">
      <c r="A106" s="49">
        <v>104</v>
      </c>
      <c r="B106" s="49" t="s">
        <v>107</v>
      </c>
      <c r="C106" s="49" t="s">
        <v>250</v>
      </c>
      <c r="D106" s="49" t="s">
        <v>307</v>
      </c>
      <c r="E106" s="49">
        <v>-145.75139999999899</v>
      </c>
      <c r="F106" s="49">
        <v>63.881100000000004</v>
      </c>
      <c r="G106" s="49">
        <v>23</v>
      </c>
      <c r="H106" t="str">
        <f t="shared" si="1"/>
        <v>Dwc</v>
      </c>
    </row>
    <row r="107" spans="1:8" ht="30" x14ac:dyDescent="0.25">
      <c r="A107" s="49">
        <v>105</v>
      </c>
      <c r="B107" s="49" t="s">
        <v>108</v>
      </c>
      <c r="C107" s="49" t="s">
        <v>238</v>
      </c>
      <c r="D107" s="49" t="s">
        <v>307</v>
      </c>
      <c r="E107" s="49">
        <v>-87.803899999999899</v>
      </c>
      <c r="F107" s="49">
        <v>32.541699999999899</v>
      </c>
      <c r="G107" s="49">
        <v>14</v>
      </c>
      <c r="H107" t="str">
        <f t="shared" si="1"/>
        <v>Cfa</v>
      </c>
    </row>
    <row r="108" spans="1:8" ht="30" x14ac:dyDescent="0.25">
      <c r="A108" s="49">
        <v>106</v>
      </c>
      <c r="B108" s="49" t="s">
        <v>109</v>
      </c>
      <c r="C108" s="49" t="s">
        <v>238</v>
      </c>
      <c r="D108" s="49" t="s">
        <v>307</v>
      </c>
      <c r="E108" s="49">
        <v>-81.4361999999999</v>
      </c>
      <c r="F108" s="49">
        <v>28.125</v>
      </c>
      <c r="G108" s="49">
        <v>14</v>
      </c>
      <c r="H108" t="str">
        <f t="shared" si="1"/>
        <v>Cfa</v>
      </c>
    </row>
    <row r="109" spans="1:8" ht="30" x14ac:dyDescent="0.25">
      <c r="A109" s="49">
        <v>107</v>
      </c>
      <c r="B109" s="49" t="s">
        <v>110</v>
      </c>
      <c r="C109" s="49" t="s">
        <v>238</v>
      </c>
      <c r="D109" s="49" t="s">
        <v>307</v>
      </c>
      <c r="E109" s="49">
        <v>-83.501900000000006</v>
      </c>
      <c r="F109" s="49">
        <v>35.689</v>
      </c>
      <c r="G109" s="49">
        <v>14</v>
      </c>
      <c r="H109" t="str">
        <f t="shared" si="1"/>
        <v>Cfa</v>
      </c>
    </row>
    <row r="110" spans="1:8" ht="30" x14ac:dyDescent="0.25">
      <c r="A110" s="49">
        <v>108</v>
      </c>
      <c r="B110" s="49" t="s">
        <v>111</v>
      </c>
      <c r="C110" s="49" t="s">
        <v>238</v>
      </c>
      <c r="D110" s="49" t="s">
        <v>307</v>
      </c>
      <c r="E110" s="49">
        <v>-72.172700000000006</v>
      </c>
      <c r="F110" s="49">
        <v>42.536900000000003</v>
      </c>
      <c r="G110" s="49">
        <v>26</v>
      </c>
      <c r="H110" t="str">
        <f t="shared" si="1"/>
        <v>Dfb</v>
      </c>
    </row>
    <row r="111" spans="1:8" ht="30" x14ac:dyDescent="0.25">
      <c r="A111" s="49">
        <v>109</v>
      </c>
      <c r="B111" s="49" t="s">
        <v>112</v>
      </c>
      <c r="C111" s="49" t="s">
        <v>238</v>
      </c>
      <c r="D111" s="49" t="s">
        <v>307</v>
      </c>
      <c r="E111" s="49">
        <v>-149.2133</v>
      </c>
      <c r="F111" s="49">
        <v>63.875700000000002</v>
      </c>
      <c r="G111" s="49">
        <v>27</v>
      </c>
      <c r="H111" t="str">
        <f t="shared" si="1"/>
        <v>Dfc</v>
      </c>
    </row>
    <row r="112" spans="1:8" ht="30" x14ac:dyDescent="0.25">
      <c r="A112" s="49">
        <v>110</v>
      </c>
      <c r="B112" s="49" t="s">
        <v>113</v>
      </c>
      <c r="C112" s="49" t="s">
        <v>238</v>
      </c>
      <c r="D112" s="49" t="s">
        <v>307</v>
      </c>
      <c r="E112" s="49">
        <v>-84.468599999999896</v>
      </c>
      <c r="F112" s="49">
        <v>31.194800000000001</v>
      </c>
      <c r="G112" s="49">
        <v>14</v>
      </c>
      <c r="H112" t="str">
        <f t="shared" si="1"/>
        <v>Cfa</v>
      </c>
    </row>
    <row r="113" spans="1:8" ht="30" x14ac:dyDescent="0.25">
      <c r="A113" s="49">
        <v>111</v>
      </c>
      <c r="B113" s="49" t="s">
        <v>114</v>
      </c>
      <c r="C113" s="49" t="s">
        <v>250</v>
      </c>
      <c r="D113" s="49" t="s">
        <v>307</v>
      </c>
      <c r="E113" s="49">
        <v>-106.8425</v>
      </c>
      <c r="F113" s="49">
        <v>32.590699999999899</v>
      </c>
      <c r="G113" s="49">
        <v>4</v>
      </c>
      <c r="H113" t="str">
        <f t="shared" si="1"/>
        <v>BWh</v>
      </c>
    </row>
    <row r="114" spans="1:8" ht="30" x14ac:dyDescent="0.25">
      <c r="A114" s="49">
        <v>112</v>
      </c>
      <c r="B114" s="49" t="s">
        <v>115</v>
      </c>
      <c r="C114" s="49" t="s">
        <v>238</v>
      </c>
      <c r="D114" s="49" t="s">
        <v>307</v>
      </c>
      <c r="E114" s="49">
        <v>-96.612899999999897</v>
      </c>
      <c r="F114" s="49">
        <v>39.110399999999899</v>
      </c>
      <c r="G114" s="49">
        <v>25</v>
      </c>
      <c r="H114" t="str">
        <f t="shared" si="1"/>
        <v>Dfa</v>
      </c>
    </row>
    <row r="115" spans="1:8" ht="30" x14ac:dyDescent="0.25">
      <c r="A115" s="49">
        <v>113</v>
      </c>
      <c r="B115" s="49" t="s">
        <v>116</v>
      </c>
      <c r="C115" s="49" t="s">
        <v>238</v>
      </c>
      <c r="D115" s="49" t="s">
        <v>307</v>
      </c>
      <c r="E115" s="49">
        <v>-96.563100000000006</v>
      </c>
      <c r="F115" s="49">
        <v>39.1008</v>
      </c>
      <c r="G115" s="49">
        <v>25</v>
      </c>
      <c r="H115" t="str">
        <f t="shared" si="1"/>
        <v>Dfa</v>
      </c>
    </row>
    <row r="116" spans="1:8" ht="30" x14ac:dyDescent="0.25">
      <c r="A116" s="49">
        <v>114</v>
      </c>
      <c r="B116" s="49" t="s">
        <v>117</v>
      </c>
      <c r="C116" s="49" t="s">
        <v>238</v>
      </c>
      <c r="D116" s="49" t="s">
        <v>307</v>
      </c>
      <c r="E116" s="49">
        <v>-109.3883</v>
      </c>
      <c r="F116" s="49">
        <v>38.2483</v>
      </c>
      <c r="G116" s="49">
        <v>7</v>
      </c>
      <c r="H116" t="str">
        <f t="shared" si="1"/>
        <v>BSk</v>
      </c>
    </row>
    <row r="117" spans="1:8" ht="30" x14ac:dyDescent="0.25">
      <c r="A117" s="49">
        <v>115</v>
      </c>
      <c r="B117" s="49" t="s">
        <v>118</v>
      </c>
      <c r="C117" s="49" t="s">
        <v>238</v>
      </c>
      <c r="D117" s="49" t="s">
        <v>307</v>
      </c>
      <c r="E117" s="49">
        <v>-80.5247999999999</v>
      </c>
      <c r="F117" s="49">
        <v>37.378300000000003</v>
      </c>
      <c r="G117" s="49">
        <v>26</v>
      </c>
      <c r="H117" t="str">
        <f t="shared" si="1"/>
        <v>Dfb</v>
      </c>
    </row>
    <row r="118" spans="1:8" ht="30" x14ac:dyDescent="0.25">
      <c r="A118" s="49">
        <v>116</v>
      </c>
      <c r="B118" s="49" t="s">
        <v>119</v>
      </c>
      <c r="C118" s="49" t="s">
        <v>238</v>
      </c>
      <c r="D118" s="49" t="s">
        <v>307</v>
      </c>
      <c r="E118" s="49">
        <v>-100.91540000000001</v>
      </c>
      <c r="F118" s="49">
        <v>46.7697</v>
      </c>
      <c r="G118" s="49">
        <v>26</v>
      </c>
      <c r="H118" t="str">
        <f t="shared" si="1"/>
        <v>Dfb</v>
      </c>
    </row>
    <row r="119" spans="1:8" ht="30" x14ac:dyDescent="0.25">
      <c r="A119" s="49">
        <v>117</v>
      </c>
      <c r="B119" s="49" t="s">
        <v>120</v>
      </c>
      <c r="C119" s="49" t="s">
        <v>238</v>
      </c>
      <c r="D119" s="49" t="s">
        <v>307</v>
      </c>
      <c r="E119" s="49">
        <v>-112.452399999999</v>
      </c>
      <c r="F119" s="49">
        <v>40.177599999999899</v>
      </c>
      <c r="G119" s="49">
        <v>7</v>
      </c>
      <c r="H119" t="str">
        <f t="shared" si="1"/>
        <v>BSk</v>
      </c>
    </row>
    <row r="120" spans="1:8" ht="30" x14ac:dyDescent="0.25">
      <c r="A120" s="49">
        <v>118</v>
      </c>
      <c r="B120" s="49" t="s">
        <v>121</v>
      </c>
      <c r="C120" s="49" t="s">
        <v>238</v>
      </c>
      <c r="D120" s="49" t="s">
        <v>307</v>
      </c>
      <c r="E120" s="49">
        <v>-105.5459</v>
      </c>
      <c r="F120" s="49">
        <v>40.2759</v>
      </c>
      <c r="G120" s="49">
        <v>27</v>
      </c>
      <c r="H120" t="str">
        <f t="shared" si="1"/>
        <v>Dfc</v>
      </c>
    </row>
    <row r="121" spans="1:8" ht="30" x14ac:dyDescent="0.25">
      <c r="A121" s="49">
        <v>119</v>
      </c>
      <c r="B121" s="49" t="s">
        <v>122</v>
      </c>
      <c r="C121" s="49" t="s">
        <v>238</v>
      </c>
      <c r="D121" s="49" t="s">
        <v>307</v>
      </c>
      <c r="E121" s="49">
        <v>-81.993399999999895</v>
      </c>
      <c r="F121" s="49">
        <v>29.6892999999999</v>
      </c>
      <c r="G121" s="49">
        <v>14</v>
      </c>
      <c r="H121" t="str">
        <f t="shared" si="1"/>
        <v>Cfa</v>
      </c>
    </row>
    <row r="122" spans="1:8" ht="30" x14ac:dyDescent="0.25">
      <c r="A122" s="49">
        <v>120</v>
      </c>
      <c r="B122" s="49" t="s">
        <v>123</v>
      </c>
      <c r="C122" s="49" t="s">
        <v>250</v>
      </c>
      <c r="D122" s="49" t="s">
        <v>307</v>
      </c>
      <c r="E122" s="49">
        <v>-78.139499999999899</v>
      </c>
      <c r="F122" s="49">
        <v>38.892899999999898</v>
      </c>
      <c r="G122" s="49">
        <v>14</v>
      </c>
      <c r="H122" t="str">
        <f t="shared" si="1"/>
        <v>Cfa</v>
      </c>
    </row>
    <row r="123" spans="1:8" ht="30" x14ac:dyDescent="0.25">
      <c r="A123" s="49">
        <v>121</v>
      </c>
      <c r="B123" s="49" t="s">
        <v>124</v>
      </c>
      <c r="C123" s="49" t="s">
        <v>238</v>
      </c>
      <c r="D123" s="49" t="s">
        <v>307</v>
      </c>
      <c r="E123" s="49">
        <v>-76.56</v>
      </c>
      <c r="F123" s="49">
        <v>38.890099999999897</v>
      </c>
      <c r="G123" s="49">
        <v>14</v>
      </c>
      <c r="H123" t="str">
        <f t="shared" si="1"/>
        <v>Cfa</v>
      </c>
    </row>
    <row r="124" spans="1:8" ht="30" x14ac:dyDescent="0.25">
      <c r="A124" s="49">
        <v>122</v>
      </c>
      <c r="B124" s="49" t="s">
        <v>125</v>
      </c>
      <c r="C124" s="49" t="s">
        <v>250</v>
      </c>
      <c r="D124" s="49" t="s">
        <v>307</v>
      </c>
      <c r="E124" s="49">
        <v>-119.732299999999</v>
      </c>
      <c r="F124" s="49">
        <v>37.108800000000002</v>
      </c>
      <c r="G124" s="49">
        <v>8</v>
      </c>
      <c r="H124" t="str">
        <f t="shared" si="1"/>
        <v>Csa</v>
      </c>
    </row>
    <row r="125" spans="1:8" ht="30" x14ac:dyDescent="0.25">
      <c r="A125" s="49">
        <v>123</v>
      </c>
      <c r="B125" s="49" t="s">
        <v>126</v>
      </c>
      <c r="C125" s="49" t="s">
        <v>250</v>
      </c>
      <c r="D125" s="49" t="s">
        <v>307</v>
      </c>
      <c r="E125" s="49">
        <v>-103.02930000000001</v>
      </c>
      <c r="F125" s="49">
        <v>40.4619</v>
      </c>
      <c r="G125" s="49">
        <v>7</v>
      </c>
      <c r="H125" t="str">
        <f t="shared" si="1"/>
        <v>BSk</v>
      </c>
    </row>
    <row r="126" spans="1:8" ht="30" x14ac:dyDescent="0.25">
      <c r="A126" s="49">
        <v>124</v>
      </c>
      <c r="B126" s="49" t="s">
        <v>127</v>
      </c>
      <c r="C126" s="49" t="s">
        <v>238</v>
      </c>
      <c r="D126" s="49" t="s">
        <v>307</v>
      </c>
      <c r="E126" s="49">
        <v>-110.835499999999</v>
      </c>
      <c r="F126" s="49">
        <v>31.910699999999899</v>
      </c>
      <c r="G126" s="49">
        <v>6</v>
      </c>
      <c r="H126" t="str">
        <f t="shared" si="1"/>
        <v>BSh</v>
      </c>
    </row>
    <row r="127" spans="1:8" ht="30" x14ac:dyDescent="0.25">
      <c r="A127" s="49">
        <v>125</v>
      </c>
      <c r="B127" s="49" t="s">
        <v>128</v>
      </c>
      <c r="C127" s="49" t="s">
        <v>238</v>
      </c>
      <c r="D127" s="49" t="s">
        <v>307</v>
      </c>
      <c r="E127" s="49">
        <v>-89.586399999999898</v>
      </c>
      <c r="F127" s="49">
        <v>45.508899999999898</v>
      </c>
      <c r="G127" s="49">
        <v>26</v>
      </c>
      <c r="H127" t="str">
        <f t="shared" si="1"/>
        <v>Dfb</v>
      </c>
    </row>
    <row r="128" spans="1:8" ht="30" x14ac:dyDescent="0.25">
      <c r="A128" s="49">
        <v>126</v>
      </c>
      <c r="B128" s="49" t="s">
        <v>129</v>
      </c>
      <c r="C128" s="49" t="s">
        <v>238</v>
      </c>
      <c r="D128" s="49" t="s">
        <v>307</v>
      </c>
      <c r="E128" s="49">
        <v>-87.393299999999897</v>
      </c>
      <c r="F128" s="49">
        <v>32.950499999999899</v>
      </c>
      <c r="G128" s="49">
        <v>14</v>
      </c>
      <c r="H128" t="str">
        <f t="shared" si="1"/>
        <v>Cfa</v>
      </c>
    </row>
    <row r="129" spans="1:8" ht="30" x14ac:dyDescent="0.25">
      <c r="A129" s="49">
        <v>127</v>
      </c>
      <c r="B129" s="49" t="s">
        <v>130</v>
      </c>
      <c r="C129" s="49" t="s">
        <v>238</v>
      </c>
      <c r="D129" s="49" t="s">
        <v>307</v>
      </c>
      <c r="E129" s="49">
        <v>-89.585700000000003</v>
      </c>
      <c r="F129" s="49">
        <v>45.493699999999897</v>
      </c>
      <c r="G129" s="49">
        <v>26</v>
      </c>
      <c r="H129" t="str">
        <f t="shared" si="1"/>
        <v>Dfb</v>
      </c>
    </row>
    <row r="130" spans="1:8" ht="30" x14ac:dyDescent="0.25">
      <c r="A130" s="49">
        <v>128</v>
      </c>
      <c r="B130" s="49" t="s">
        <v>131</v>
      </c>
      <c r="C130" s="49" t="s">
        <v>238</v>
      </c>
      <c r="D130" s="49" t="s">
        <v>307</v>
      </c>
      <c r="E130" s="49">
        <v>-95.192099999999897</v>
      </c>
      <c r="F130" s="49">
        <v>39.040399999999899</v>
      </c>
      <c r="G130" s="49">
        <v>25</v>
      </c>
      <c r="H130" t="str">
        <f t="shared" si="1"/>
        <v>Dfa</v>
      </c>
    </row>
    <row r="131" spans="1:8" ht="30" x14ac:dyDescent="0.25">
      <c r="A131" s="49">
        <v>129</v>
      </c>
      <c r="B131" s="49" t="s">
        <v>132</v>
      </c>
      <c r="C131" s="49" t="s">
        <v>238</v>
      </c>
      <c r="D131" s="49" t="s">
        <v>307</v>
      </c>
      <c r="E131" s="49">
        <v>-89.537300000000002</v>
      </c>
      <c r="F131" s="49">
        <v>46.233899999999899</v>
      </c>
      <c r="G131" s="49">
        <v>26</v>
      </c>
      <c r="H131" t="str">
        <f t="shared" ref="H131:H194" si="2">VLOOKUP(G131,$K$2:$L$31,2)</f>
        <v>Dfb</v>
      </c>
    </row>
    <row r="132" spans="1:8" ht="30" x14ac:dyDescent="0.25">
      <c r="A132" s="49">
        <v>130</v>
      </c>
      <c r="B132" s="49" t="s">
        <v>133</v>
      </c>
      <c r="C132" s="49" t="s">
        <v>250</v>
      </c>
      <c r="D132" s="49" t="s">
        <v>307</v>
      </c>
      <c r="E132" s="49">
        <v>-99.241399999999899</v>
      </c>
      <c r="F132" s="49">
        <v>47.1282</v>
      </c>
      <c r="G132" s="49">
        <v>22</v>
      </c>
      <c r="H132" t="str">
        <f t="shared" si="2"/>
        <v>Dwb</v>
      </c>
    </row>
    <row r="133" spans="1:8" ht="30" x14ac:dyDescent="0.25">
      <c r="A133" s="49">
        <v>131</v>
      </c>
      <c r="B133" s="49" t="s">
        <v>134</v>
      </c>
      <c r="C133" s="49" t="s">
        <v>241</v>
      </c>
      <c r="D133" s="49" t="s">
        <v>307</v>
      </c>
      <c r="E133" s="49">
        <v>-110.5391</v>
      </c>
      <c r="F133" s="49">
        <v>44.953499999999899</v>
      </c>
      <c r="G133" s="49">
        <v>26</v>
      </c>
      <c r="H133" t="str">
        <f t="shared" si="2"/>
        <v>Dfb</v>
      </c>
    </row>
    <row r="134" spans="1:8" ht="30" x14ac:dyDescent="0.25">
      <c r="A134" s="49">
        <v>132</v>
      </c>
      <c r="B134" s="49" t="s">
        <v>135</v>
      </c>
      <c r="C134" s="49" t="s">
        <v>274</v>
      </c>
      <c r="D134" s="49" t="s">
        <v>308</v>
      </c>
      <c r="E134" s="49">
        <v>131.11779999999899</v>
      </c>
      <c r="F134" s="49">
        <v>-13.0769</v>
      </c>
      <c r="G134" s="49">
        <v>3</v>
      </c>
      <c r="H134" t="str">
        <f t="shared" si="2"/>
        <v>Aw</v>
      </c>
    </row>
    <row r="135" spans="1:8" ht="30" x14ac:dyDescent="0.25">
      <c r="A135" s="49">
        <v>133</v>
      </c>
      <c r="B135" s="49" t="s">
        <v>136</v>
      </c>
      <c r="C135" s="49" t="s">
        <v>275</v>
      </c>
      <c r="D135" s="49" t="s">
        <v>308</v>
      </c>
      <c r="E135" s="49">
        <v>133.24930000000001</v>
      </c>
      <c r="F135" s="49">
        <v>-22.282800000000002</v>
      </c>
      <c r="G135" s="49">
        <v>4</v>
      </c>
      <c r="H135" t="str">
        <f t="shared" si="2"/>
        <v>BWh</v>
      </c>
    </row>
    <row r="136" spans="1:8" ht="30" x14ac:dyDescent="0.25">
      <c r="A136" s="49">
        <v>134</v>
      </c>
      <c r="B136" s="49" t="s">
        <v>137</v>
      </c>
      <c r="C136" s="49" t="s">
        <v>276</v>
      </c>
      <c r="D136" s="49" t="s">
        <v>308</v>
      </c>
      <c r="E136" s="49">
        <v>116.938599999999</v>
      </c>
      <c r="F136" s="49">
        <v>-32.4771</v>
      </c>
      <c r="G136" s="49">
        <v>8</v>
      </c>
      <c r="H136" t="str">
        <f t="shared" si="2"/>
        <v>Csa</v>
      </c>
    </row>
    <row r="137" spans="1:8" ht="30" x14ac:dyDescent="0.25">
      <c r="A137" s="49">
        <v>135</v>
      </c>
      <c r="B137" s="49" t="s">
        <v>138</v>
      </c>
      <c r="C137" s="49" t="s">
        <v>277</v>
      </c>
      <c r="D137" s="49" t="s">
        <v>308</v>
      </c>
      <c r="E137" s="49">
        <v>140.58770000000001</v>
      </c>
      <c r="F137" s="49">
        <v>-34.002699999999898</v>
      </c>
      <c r="G137" s="49">
        <v>5</v>
      </c>
      <c r="H137" t="str">
        <f t="shared" si="2"/>
        <v>BWk</v>
      </c>
    </row>
    <row r="138" spans="1:8" ht="30" x14ac:dyDescent="0.25">
      <c r="A138" s="49">
        <v>136</v>
      </c>
      <c r="B138" s="49" t="s">
        <v>139</v>
      </c>
      <c r="C138" s="49" t="s">
        <v>278</v>
      </c>
      <c r="D138" s="49" t="s">
        <v>308</v>
      </c>
      <c r="E138" s="49">
        <v>150.7236</v>
      </c>
      <c r="F138" s="49">
        <v>-33.615200000000002</v>
      </c>
      <c r="G138" s="49">
        <v>14</v>
      </c>
      <c r="H138" t="str">
        <f t="shared" si="2"/>
        <v>Cfa</v>
      </c>
    </row>
    <row r="139" spans="1:8" ht="30" x14ac:dyDescent="0.25">
      <c r="A139" s="49">
        <v>137</v>
      </c>
      <c r="B139" s="49" t="s">
        <v>140</v>
      </c>
      <c r="C139" s="49" t="s">
        <v>279</v>
      </c>
      <c r="D139" s="49" t="s">
        <v>308</v>
      </c>
      <c r="E139" s="49">
        <v>131.38810000000001</v>
      </c>
      <c r="F139" s="49">
        <v>-14.1592</v>
      </c>
      <c r="G139" s="49">
        <v>3</v>
      </c>
      <c r="H139" t="str">
        <f t="shared" si="2"/>
        <v>Aw</v>
      </c>
    </row>
    <row r="140" spans="1:8" ht="30" x14ac:dyDescent="0.25">
      <c r="A140" s="49">
        <v>138</v>
      </c>
      <c r="B140" s="49" t="s">
        <v>141</v>
      </c>
      <c r="C140" s="49" t="s">
        <v>275</v>
      </c>
      <c r="D140" s="49" t="s">
        <v>308</v>
      </c>
      <c r="E140" s="49">
        <v>132.370599999999</v>
      </c>
      <c r="F140" s="49">
        <v>-15.258800000000001</v>
      </c>
      <c r="G140" s="49">
        <v>3</v>
      </c>
      <c r="H140" t="str">
        <f t="shared" si="2"/>
        <v>Aw</v>
      </c>
    </row>
    <row r="141" spans="1:8" ht="30" x14ac:dyDescent="0.25">
      <c r="A141" s="49">
        <v>139</v>
      </c>
      <c r="B141" s="49" t="s">
        <v>142</v>
      </c>
      <c r="C141" s="49" t="s">
        <v>280</v>
      </c>
      <c r="D141" s="49" t="s">
        <v>308</v>
      </c>
      <c r="E141" s="49">
        <v>120.6541</v>
      </c>
      <c r="F141" s="49">
        <v>-30.191299999999899</v>
      </c>
      <c r="G141" s="49">
        <v>4</v>
      </c>
      <c r="H141" t="str">
        <f t="shared" si="2"/>
        <v>BWh</v>
      </c>
    </row>
    <row r="142" spans="1:8" ht="30" x14ac:dyDescent="0.25">
      <c r="A142" s="49">
        <v>140</v>
      </c>
      <c r="B142" s="49" t="s">
        <v>143</v>
      </c>
      <c r="C142" s="49" t="s">
        <v>281</v>
      </c>
      <c r="D142" s="49" t="s">
        <v>308</v>
      </c>
      <c r="E142" s="49">
        <v>130.794499999999</v>
      </c>
      <c r="F142" s="49">
        <v>-13.179</v>
      </c>
      <c r="G142" s="49">
        <v>3</v>
      </c>
      <c r="H142" t="str">
        <f t="shared" si="2"/>
        <v>Aw</v>
      </c>
    </row>
    <row r="143" spans="1:8" ht="30" x14ac:dyDescent="0.25">
      <c r="A143" s="49">
        <v>141</v>
      </c>
      <c r="B143" s="49" t="s">
        <v>144</v>
      </c>
      <c r="C143" s="49" t="s">
        <v>282</v>
      </c>
      <c r="D143" s="49" t="s">
        <v>308</v>
      </c>
      <c r="E143" s="49">
        <v>130.794499999999</v>
      </c>
      <c r="F143" s="49">
        <v>-13.179</v>
      </c>
      <c r="G143" s="49">
        <v>3</v>
      </c>
      <c r="H143" t="str">
        <f t="shared" si="2"/>
        <v>Aw</v>
      </c>
    </row>
    <row r="144" spans="1:8" ht="30" x14ac:dyDescent="0.25">
      <c r="A144" s="49">
        <v>142</v>
      </c>
      <c r="B144" s="49" t="s">
        <v>145</v>
      </c>
      <c r="C144" s="49" t="s">
        <v>281</v>
      </c>
      <c r="D144" s="49" t="s">
        <v>308</v>
      </c>
      <c r="E144" s="49">
        <v>116.96680000000001</v>
      </c>
      <c r="F144" s="49">
        <v>-32.506100000000004</v>
      </c>
      <c r="G144" s="49">
        <v>8</v>
      </c>
      <c r="H144" t="str">
        <f t="shared" si="2"/>
        <v>Csa</v>
      </c>
    </row>
    <row r="145" spans="1:8" ht="30" x14ac:dyDescent="0.25">
      <c r="A145" s="49">
        <v>143</v>
      </c>
      <c r="B145" s="49" t="s">
        <v>146</v>
      </c>
      <c r="C145" s="49" t="s">
        <v>283</v>
      </c>
      <c r="D145" s="49" t="s">
        <v>308</v>
      </c>
      <c r="E145" s="49">
        <v>133.3502</v>
      </c>
      <c r="F145" s="49">
        <v>-17.150700000000001</v>
      </c>
      <c r="G145" s="49">
        <v>6</v>
      </c>
      <c r="H145" t="str">
        <f t="shared" si="2"/>
        <v>BSh</v>
      </c>
    </row>
    <row r="146" spans="1:8" ht="30" x14ac:dyDescent="0.25">
      <c r="A146" s="49">
        <v>144</v>
      </c>
      <c r="B146" s="49" t="s">
        <v>147</v>
      </c>
      <c r="C146" s="49" t="s">
        <v>261</v>
      </c>
      <c r="D146" s="49" t="s">
        <v>308</v>
      </c>
      <c r="E146" s="49">
        <v>146.65450000000001</v>
      </c>
      <c r="F146" s="49">
        <v>-43.094999999999899</v>
      </c>
      <c r="G146" s="49">
        <v>15</v>
      </c>
      <c r="H146" t="str">
        <f t="shared" si="2"/>
        <v>Cfb</v>
      </c>
    </row>
    <row r="147" spans="1:8" ht="30" x14ac:dyDescent="0.25">
      <c r="A147" s="49">
        <v>145</v>
      </c>
      <c r="B147" s="49" t="s">
        <v>148</v>
      </c>
      <c r="C147" s="49" t="s">
        <v>240</v>
      </c>
      <c r="D147" s="49" t="s">
        <v>308</v>
      </c>
      <c r="E147" s="49">
        <v>145.02940000000001</v>
      </c>
      <c r="F147" s="49">
        <v>-36.673200000000001</v>
      </c>
      <c r="G147" s="49">
        <v>7</v>
      </c>
      <c r="H147" t="str">
        <f t="shared" si="2"/>
        <v>BSk</v>
      </c>
    </row>
    <row r="148" spans="1:8" ht="30" x14ac:dyDescent="0.25">
      <c r="A148" s="49">
        <v>146</v>
      </c>
      <c r="B148" s="49" t="s">
        <v>149</v>
      </c>
      <c r="C148" s="49" t="s">
        <v>242</v>
      </c>
      <c r="D148" s="49" t="s">
        <v>308</v>
      </c>
      <c r="E148" s="49">
        <v>144.09440000000001</v>
      </c>
      <c r="F148" s="49">
        <v>-37.422199999999897</v>
      </c>
      <c r="G148" s="49">
        <v>15</v>
      </c>
      <c r="H148" t="str">
        <f t="shared" si="2"/>
        <v>Cfb</v>
      </c>
    </row>
    <row r="149" spans="1:8" ht="30" x14ac:dyDescent="0.25">
      <c r="A149" s="49">
        <v>147</v>
      </c>
      <c r="B149" s="49" t="s">
        <v>150</v>
      </c>
      <c r="C149" s="49" t="s">
        <v>284</v>
      </c>
      <c r="D149" s="49" t="s">
        <v>309</v>
      </c>
      <c r="E149" s="49">
        <v>4.5200979999999999</v>
      </c>
      <c r="F149" s="49">
        <v>51.307009999999899</v>
      </c>
      <c r="G149" s="49">
        <v>15</v>
      </c>
      <c r="H149" t="str">
        <f t="shared" si="2"/>
        <v>Cfb</v>
      </c>
    </row>
    <row r="150" spans="1:8" ht="30" x14ac:dyDescent="0.25">
      <c r="A150" s="49">
        <v>148</v>
      </c>
      <c r="B150" s="49" t="s">
        <v>151</v>
      </c>
      <c r="C150" s="49" t="s">
        <v>285</v>
      </c>
      <c r="D150" s="49" t="s">
        <v>309</v>
      </c>
      <c r="E150" s="49">
        <v>4.7462020000000003</v>
      </c>
      <c r="F150" s="49">
        <v>50.551338000000001</v>
      </c>
      <c r="G150" s="49">
        <v>15</v>
      </c>
      <c r="H150" t="str">
        <f t="shared" si="2"/>
        <v>Cfb</v>
      </c>
    </row>
    <row r="151" spans="1:8" ht="30" x14ac:dyDescent="0.25">
      <c r="A151" s="49">
        <v>149</v>
      </c>
      <c r="B151" s="49" t="s">
        <v>152</v>
      </c>
      <c r="C151" s="49" t="s">
        <v>284</v>
      </c>
      <c r="D151" s="49" t="s">
        <v>309</v>
      </c>
      <c r="E151" s="49">
        <v>5.99871</v>
      </c>
      <c r="F151" s="49">
        <v>50.306918000000003</v>
      </c>
      <c r="G151" s="49">
        <v>15</v>
      </c>
      <c r="H151" t="str">
        <f t="shared" si="2"/>
        <v>Cfb</v>
      </c>
    </row>
    <row r="152" spans="1:8" ht="30" x14ac:dyDescent="0.25">
      <c r="A152" s="49">
        <v>150</v>
      </c>
      <c r="B152" s="49" t="s">
        <v>153</v>
      </c>
      <c r="C152" s="49" t="s">
        <v>286</v>
      </c>
      <c r="D152" s="49" t="s">
        <v>309</v>
      </c>
      <c r="E152" s="49">
        <v>9.7904169999999997</v>
      </c>
      <c r="F152" s="49">
        <v>46.583306</v>
      </c>
      <c r="G152" s="49">
        <v>27</v>
      </c>
      <c r="H152" t="str">
        <f t="shared" si="2"/>
        <v>Dfc</v>
      </c>
    </row>
    <row r="153" spans="1:8" ht="30" x14ac:dyDescent="0.25">
      <c r="A153" s="49">
        <v>151</v>
      </c>
      <c r="B153" s="49" t="s">
        <v>154</v>
      </c>
      <c r="C153" s="49" t="s">
        <v>287</v>
      </c>
      <c r="D153" s="49" t="s">
        <v>309</v>
      </c>
      <c r="E153" s="49">
        <v>8.4104399999999906</v>
      </c>
      <c r="F153" s="49">
        <v>47.21022</v>
      </c>
      <c r="G153" s="49">
        <v>15</v>
      </c>
      <c r="H153" t="str">
        <f t="shared" si="2"/>
        <v>Cfb</v>
      </c>
    </row>
    <row r="154" spans="1:8" ht="30" x14ac:dyDescent="0.25">
      <c r="A154" s="49">
        <v>152</v>
      </c>
      <c r="B154" s="49" t="s">
        <v>155</v>
      </c>
      <c r="C154" s="49" t="s">
        <v>288</v>
      </c>
      <c r="D154" s="49" t="s">
        <v>309</v>
      </c>
      <c r="E154" s="49">
        <v>9.8559099999999997</v>
      </c>
      <c r="F154" s="49">
        <v>46.815330000000003</v>
      </c>
      <c r="G154" s="49">
        <v>27</v>
      </c>
      <c r="H154" t="str">
        <f t="shared" si="2"/>
        <v>Dfc</v>
      </c>
    </row>
    <row r="155" spans="1:8" ht="30" x14ac:dyDescent="0.25">
      <c r="A155" s="49">
        <v>153</v>
      </c>
      <c r="B155" s="49" t="s">
        <v>156</v>
      </c>
      <c r="C155" s="49" t="s">
        <v>287</v>
      </c>
      <c r="D155" s="49" t="s">
        <v>309</v>
      </c>
      <c r="E155" s="49">
        <v>8.5377799999999997</v>
      </c>
      <c r="F155" s="49">
        <v>47.115830000000003</v>
      </c>
      <c r="G155" s="49">
        <v>26</v>
      </c>
      <c r="H155" t="str">
        <f t="shared" si="2"/>
        <v>Dfb</v>
      </c>
    </row>
    <row r="156" spans="1:8" ht="30" x14ac:dyDescent="0.25">
      <c r="A156" s="49">
        <v>154</v>
      </c>
      <c r="B156" s="49" t="s">
        <v>157</v>
      </c>
      <c r="C156" s="49" t="s">
        <v>285</v>
      </c>
      <c r="D156" s="49" t="s">
        <v>309</v>
      </c>
      <c r="E156" s="49">
        <v>8.3650000000000002</v>
      </c>
      <c r="F156" s="49">
        <v>47.478079999999899</v>
      </c>
      <c r="G156" s="49">
        <v>15</v>
      </c>
      <c r="H156" t="str">
        <f t="shared" si="2"/>
        <v>Cfb</v>
      </c>
    </row>
    <row r="157" spans="1:8" ht="30" x14ac:dyDescent="0.25">
      <c r="A157" s="49">
        <v>155</v>
      </c>
      <c r="B157" s="49" t="s">
        <v>158</v>
      </c>
      <c r="C157" s="49" t="s">
        <v>285</v>
      </c>
      <c r="D157" s="49" t="s">
        <v>309</v>
      </c>
      <c r="E157" s="49">
        <v>7.7343299999999999</v>
      </c>
      <c r="F157" s="49">
        <v>47.28631</v>
      </c>
      <c r="G157" s="49">
        <v>15</v>
      </c>
      <c r="H157" t="str">
        <f t="shared" si="2"/>
        <v>Cfb</v>
      </c>
    </row>
    <row r="158" spans="1:8" ht="30" x14ac:dyDescent="0.25">
      <c r="A158" s="49">
        <v>156</v>
      </c>
      <c r="B158" s="49" t="s">
        <v>159</v>
      </c>
      <c r="C158" s="49" t="s">
        <v>285</v>
      </c>
      <c r="D158" s="49" t="s">
        <v>309</v>
      </c>
      <c r="E158" s="49">
        <v>18.536881999999899</v>
      </c>
      <c r="F158" s="49">
        <v>49.502074999999898</v>
      </c>
      <c r="G158" s="49">
        <v>26</v>
      </c>
      <c r="H158" t="str">
        <f t="shared" si="2"/>
        <v>Dfb</v>
      </c>
    </row>
    <row r="159" spans="1:8" ht="30" x14ac:dyDescent="0.25">
      <c r="A159" s="49">
        <v>157</v>
      </c>
      <c r="B159" s="49" t="s">
        <v>160</v>
      </c>
      <c r="C159" s="49" t="s">
        <v>251</v>
      </c>
      <c r="D159" s="49" t="s">
        <v>309</v>
      </c>
      <c r="E159" s="49">
        <v>16.946331000000001</v>
      </c>
      <c r="F159" s="49">
        <v>48.681550000000001</v>
      </c>
      <c r="G159" s="49">
        <v>26</v>
      </c>
      <c r="H159" t="str">
        <f t="shared" si="2"/>
        <v>Dfb</v>
      </c>
    </row>
    <row r="160" spans="1:8" ht="30" x14ac:dyDescent="0.25">
      <c r="A160" s="49">
        <v>158</v>
      </c>
      <c r="B160" s="49" t="s">
        <v>161</v>
      </c>
      <c r="C160" s="49" t="s">
        <v>289</v>
      </c>
      <c r="D160" s="49" t="s">
        <v>309</v>
      </c>
      <c r="E160" s="49">
        <v>16.696512500000001</v>
      </c>
      <c r="F160" s="49">
        <v>49.443723599999899</v>
      </c>
      <c r="G160" s="49">
        <v>26</v>
      </c>
      <c r="H160" t="str">
        <f t="shared" si="2"/>
        <v>Dfb</v>
      </c>
    </row>
    <row r="161" spans="1:8" ht="30" x14ac:dyDescent="0.25">
      <c r="A161" s="49">
        <v>159</v>
      </c>
      <c r="B161" s="49" t="s">
        <v>162</v>
      </c>
      <c r="C161" s="49" t="s">
        <v>286</v>
      </c>
      <c r="D161" s="49" t="s">
        <v>309</v>
      </c>
      <c r="E161" s="49">
        <v>17.9698999999999</v>
      </c>
      <c r="F161" s="49">
        <v>49.035975000000001</v>
      </c>
      <c r="G161" s="49">
        <v>26</v>
      </c>
      <c r="H161" t="str">
        <f t="shared" si="2"/>
        <v>Dfb</v>
      </c>
    </row>
    <row r="162" spans="1:8" ht="30" x14ac:dyDescent="0.25">
      <c r="A162" s="49">
        <v>160</v>
      </c>
      <c r="B162" s="49" t="s">
        <v>163</v>
      </c>
      <c r="C162" s="49" t="s">
        <v>290</v>
      </c>
      <c r="D162" s="49" t="s">
        <v>309</v>
      </c>
      <c r="E162" s="49">
        <v>14.770350000000001</v>
      </c>
      <c r="F162" s="49">
        <v>49.024650000000001</v>
      </c>
      <c r="G162" s="49">
        <v>26</v>
      </c>
      <c r="H162" t="str">
        <f t="shared" si="2"/>
        <v>Dfb</v>
      </c>
    </row>
    <row r="163" spans="1:8" ht="30" x14ac:dyDescent="0.25">
      <c r="A163" s="49">
        <v>161</v>
      </c>
      <c r="B163" s="49" t="s">
        <v>164</v>
      </c>
      <c r="C163" s="49" t="s">
        <v>291</v>
      </c>
      <c r="D163" s="49" t="s">
        <v>309</v>
      </c>
      <c r="E163" s="49">
        <v>13.68342</v>
      </c>
      <c r="F163" s="49">
        <v>53.866169999999897</v>
      </c>
      <c r="G163" s="49">
        <v>15</v>
      </c>
      <c r="H163" t="str">
        <f t="shared" si="2"/>
        <v>Cfb</v>
      </c>
    </row>
    <row r="164" spans="1:8" ht="30" x14ac:dyDescent="0.25">
      <c r="A164" s="49">
        <v>162</v>
      </c>
      <c r="B164" s="49" t="s">
        <v>165</v>
      </c>
      <c r="C164" s="49" t="s">
        <v>292</v>
      </c>
      <c r="D164" s="49" t="s">
        <v>309</v>
      </c>
      <c r="E164" s="49">
        <v>10.9145299999999</v>
      </c>
      <c r="F164" s="49">
        <v>51.099850000000004</v>
      </c>
      <c r="G164" s="49">
        <v>15</v>
      </c>
      <c r="H164" t="str">
        <f t="shared" si="2"/>
        <v>Cfb</v>
      </c>
    </row>
    <row r="165" spans="1:8" ht="30" x14ac:dyDescent="0.25">
      <c r="A165" s="49">
        <v>163</v>
      </c>
      <c r="B165" s="49" t="s">
        <v>166</v>
      </c>
      <c r="C165" s="49" t="s">
        <v>285</v>
      </c>
      <c r="D165" s="49" t="s">
        <v>309</v>
      </c>
      <c r="E165" s="49">
        <v>13.5125899999999</v>
      </c>
      <c r="F165" s="49">
        <v>50.950040000000001</v>
      </c>
      <c r="G165" s="49">
        <v>26</v>
      </c>
      <c r="H165" t="str">
        <f t="shared" si="2"/>
        <v>Dfb</v>
      </c>
    </row>
    <row r="166" spans="1:8" ht="30" x14ac:dyDescent="0.25">
      <c r="A166" s="49">
        <v>164</v>
      </c>
      <c r="B166" s="49" t="s">
        <v>167</v>
      </c>
      <c r="C166" s="49" t="s">
        <v>293</v>
      </c>
      <c r="D166" s="49" t="s">
        <v>309</v>
      </c>
      <c r="E166" s="49">
        <v>10.452089000000001</v>
      </c>
      <c r="F166" s="49">
        <v>51.079407000000003</v>
      </c>
      <c r="G166" s="49">
        <v>26</v>
      </c>
      <c r="H166" t="str">
        <f t="shared" si="2"/>
        <v>Dfb</v>
      </c>
    </row>
    <row r="167" spans="1:8" ht="30" x14ac:dyDescent="0.25">
      <c r="A167" s="49">
        <v>165</v>
      </c>
      <c r="B167" s="49" t="s">
        <v>168</v>
      </c>
      <c r="C167" s="49" t="s">
        <v>251</v>
      </c>
      <c r="D167" s="49" t="s">
        <v>309</v>
      </c>
      <c r="E167" s="49">
        <v>11.221911</v>
      </c>
      <c r="F167" s="49">
        <v>52.086370000000002</v>
      </c>
      <c r="G167" s="49">
        <v>15</v>
      </c>
      <c r="H167" t="str">
        <f t="shared" si="2"/>
        <v>Cfb</v>
      </c>
    </row>
    <row r="168" spans="1:8" ht="30" x14ac:dyDescent="0.25">
      <c r="A168" s="49">
        <v>166</v>
      </c>
      <c r="B168" s="49" t="s">
        <v>169</v>
      </c>
      <c r="C168" s="49" t="s">
        <v>291</v>
      </c>
      <c r="D168" s="49" t="s">
        <v>309</v>
      </c>
      <c r="E168" s="49">
        <v>12.176111000000001</v>
      </c>
      <c r="F168" s="49">
        <v>54.210278000000002</v>
      </c>
      <c r="G168" s="49">
        <v>15</v>
      </c>
      <c r="H168" t="str">
        <f t="shared" si="2"/>
        <v>Cfb</v>
      </c>
    </row>
    <row r="169" spans="1:8" ht="30" x14ac:dyDescent="0.25">
      <c r="A169" s="49">
        <v>167</v>
      </c>
      <c r="B169" s="49" t="s">
        <v>170</v>
      </c>
      <c r="C169" s="49" t="s">
        <v>286</v>
      </c>
      <c r="D169" s="49" t="s">
        <v>309</v>
      </c>
      <c r="E169" s="49">
        <v>13.48978</v>
      </c>
      <c r="F169" s="49">
        <v>50.963810000000002</v>
      </c>
      <c r="G169" s="49">
        <v>26</v>
      </c>
      <c r="H169" t="str">
        <f t="shared" si="2"/>
        <v>Dfb</v>
      </c>
    </row>
    <row r="170" spans="1:8" ht="30" x14ac:dyDescent="0.25">
      <c r="A170" s="49">
        <v>168</v>
      </c>
      <c r="B170" s="49" t="s">
        <v>171</v>
      </c>
      <c r="C170" s="49" t="s">
        <v>285</v>
      </c>
      <c r="D170" s="49" t="s">
        <v>309</v>
      </c>
      <c r="E170" s="49">
        <v>13.52238</v>
      </c>
      <c r="F170" s="49">
        <v>50.893059999999899</v>
      </c>
      <c r="G170" s="49">
        <v>26</v>
      </c>
      <c r="H170" t="str">
        <f t="shared" si="2"/>
        <v>Dfb</v>
      </c>
    </row>
    <row r="171" spans="1:8" ht="30" x14ac:dyDescent="0.25">
      <c r="A171" s="49">
        <v>169</v>
      </c>
      <c r="B171" s="49" t="s">
        <v>172</v>
      </c>
      <c r="C171" s="49" t="s">
        <v>294</v>
      </c>
      <c r="D171" s="49" t="s">
        <v>309</v>
      </c>
      <c r="E171" s="49">
        <v>13.72129</v>
      </c>
      <c r="F171" s="49">
        <v>50.786659999999898</v>
      </c>
      <c r="G171" s="49">
        <v>26</v>
      </c>
      <c r="H171" t="str">
        <f t="shared" si="2"/>
        <v>Dfb</v>
      </c>
    </row>
    <row r="172" spans="1:8" ht="30" x14ac:dyDescent="0.25">
      <c r="A172" s="49">
        <v>170</v>
      </c>
      <c r="B172" s="49" t="s">
        <v>173</v>
      </c>
      <c r="C172" s="49" t="s">
        <v>268</v>
      </c>
      <c r="D172" s="49" t="s">
        <v>309</v>
      </c>
      <c r="E172" s="49">
        <v>6.3041260000000001</v>
      </c>
      <c r="F172" s="49">
        <v>50.621913999999897</v>
      </c>
      <c r="G172" s="49">
        <v>15</v>
      </c>
      <c r="H172" t="str">
        <f t="shared" si="2"/>
        <v>Cfb</v>
      </c>
    </row>
    <row r="173" spans="1:8" ht="30" x14ac:dyDescent="0.25">
      <c r="A173" s="49">
        <v>171</v>
      </c>
      <c r="B173" s="49" t="s">
        <v>174</v>
      </c>
      <c r="C173" s="49" t="s">
        <v>268</v>
      </c>
      <c r="D173" s="49" t="s">
        <v>309</v>
      </c>
      <c r="E173" s="49">
        <v>6.447076</v>
      </c>
      <c r="F173" s="49">
        <v>50.866033000000002</v>
      </c>
      <c r="G173" s="49">
        <v>15</v>
      </c>
      <c r="H173" t="str">
        <f t="shared" si="2"/>
        <v>Cfb</v>
      </c>
    </row>
    <row r="174" spans="1:8" ht="30" x14ac:dyDescent="0.25">
      <c r="A174" s="49">
        <v>172</v>
      </c>
      <c r="B174" s="49" t="s">
        <v>175</v>
      </c>
      <c r="C174" s="49" t="s">
        <v>286</v>
      </c>
      <c r="D174" s="49" t="s">
        <v>309</v>
      </c>
      <c r="E174" s="49">
        <v>6.3309626999999997</v>
      </c>
      <c r="F174" s="49">
        <v>50.504930000000002</v>
      </c>
      <c r="G174" s="49">
        <v>15</v>
      </c>
      <c r="H174" t="str">
        <f t="shared" si="2"/>
        <v>Cfb</v>
      </c>
    </row>
    <row r="175" spans="1:8" ht="30" x14ac:dyDescent="0.25">
      <c r="A175" s="49">
        <v>173</v>
      </c>
      <c r="B175" s="49" t="s">
        <v>176</v>
      </c>
      <c r="C175" s="49" t="s">
        <v>284</v>
      </c>
      <c r="D175" s="49" t="s">
        <v>309</v>
      </c>
      <c r="E175" s="49">
        <v>13.5651499999999</v>
      </c>
      <c r="F175" s="49">
        <v>50.962560000000003</v>
      </c>
      <c r="G175" s="49">
        <v>26</v>
      </c>
      <c r="H175" t="str">
        <f t="shared" si="2"/>
        <v>Dfb</v>
      </c>
    </row>
    <row r="176" spans="1:8" ht="30" x14ac:dyDescent="0.25">
      <c r="A176" s="49">
        <v>174</v>
      </c>
      <c r="B176" s="49" t="s">
        <v>177</v>
      </c>
      <c r="C176" s="49" t="s">
        <v>284</v>
      </c>
      <c r="D176" s="49" t="s">
        <v>309</v>
      </c>
      <c r="E176" s="49">
        <v>11.6452069999999</v>
      </c>
      <c r="F176" s="49">
        <v>55.486286</v>
      </c>
      <c r="G176" s="49">
        <v>15</v>
      </c>
      <c r="H176" t="str">
        <f t="shared" si="2"/>
        <v>Cfb</v>
      </c>
    </row>
    <row r="177" spans="1:8" ht="30" x14ac:dyDescent="0.25">
      <c r="A177" s="49">
        <v>175</v>
      </c>
      <c r="B177" s="49" t="s">
        <v>178</v>
      </c>
      <c r="C177" s="49" t="s">
        <v>251</v>
      </c>
      <c r="D177" s="49" t="s">
        <v>309</v>
      </c>
      <c r="E177" s="49">
        <v>-6.7858809999999998</v>
      </c>
      <c r="F177" s="49">
        <v>38.701839</v>
      </c>
      <c r="G177" s="49">
        <v>8</v>
      </c>
      <c r="H177" t="str">
        <f t="shared" si="2"/>
        <v>Csa</v>
      </c>
    </row>
    <row r="178" spans="1:8" ht="30" x14ac:dyDescent="0.25">
      <c r="A178" s="49">
        <v>176</v>
      </c>
      <c r="B178" s="49" t="s">
        <v>179</v>
      </c>
      <c r="C178" s="49" t="s">
        <v>295</v>
      </c>
      <c r="D178" s="49" t="s">
        <v>309</v>
      </c>
      <c r="E178" s="49">
        <v>-5.778683</v>
      </c>
      <c r="F178" s="49">
        <v>39.942689999999899</v>
      </c>
      <c r="G178" s="49">
        <v>8</v>
      </c>
      <c r="H178" t="str">
        <f t="shared" si="2"/>
        <v>Csa</v>
      </c>
    </row>
    <row r="179" spans="1:8" ht="30" x14ac:dyDescent="0.25">
      <c r="A179" s="49">
        <v>177</v>
      </c>
      <c r="B179" s="49" t="s">
        <v>180</v>
      </c>
      <c r="C179" s="49" t="s">
        <v>295</v>
      </c>
      <c r="D179" s="49" t="s">
        <v>309</v>
      </c>
      <c r="E179" s="49">
        <v>-5.775881</v>
      </c>
      <c r="F179" s="49">
        <v>39.934592000000002</v>
      </c>
      <c r="G179" s="49">
        <v>8</v>
      </c>
      <c r="H179" t="str">
        <f t="shared" si="2"/>
        <v>Csa</v>
      </c>
    </row>
    <row r="180" spans="1:8" ht="30" x14ac:dyDescent="0.25">
      <c r="A180" s="49">
        <v>178</v>
      </c>
      <c r="B180" s="49" t="s">
        <v>181</v>
      </c>
      <c r="C180" s="49" t="s">
        <v>284</v>
      </c>
      <c r="D180" s="49" t="s">
        <v>309</v>
      </c>
      <c r="E180" s="49">
        <v>24.2939709999999</v>
      </c>
      <c r="F180" s="49">
        <v>61.847718999999898</v>
      </c>
      <c r="G180" s="49">
        <v>27</v>
      </c>
      <c r="H180" t="str">
        <f t="shared" si="2"/>
        <v>Dfc</v>
      </c>
    </row>
    <row r="181" spans="1:8" ht="30" x14ac:dyDescent="0.25">
      <c r="A181" s="49">
        <v>179</v>
      </c>
      <c r="B181" s="49" t="s">
        <v>182</v>
      </c>
      <c r="C181" s="49" t="s">
        <v>291</v>
      </c>
      <c r="D181" s="49" t="s">
        <v>309</v>
      </c>
      <c r="E181" s="49">
        <v>23.959520000000001</v>
      </c>
      <c r="F181" s="49">
        <v>60.641829999999899</v>
      </c>
      <c r="G181" s="49">
        <v>26</v>
      </c>
      <c r="H181" t="str">
        <f t="shared" si="2"/>
        <v>Dfb</v>
      </c>
    </row>
    <row r="182" spans="1:8" ht="30" x14ac:dyDescent="0.25">
      <c r="A182" s="49">
        <v>180</v>
      </c>
      <c r="B182" s="49" t="s">
        <v>183</v>
      </c>
      <c r="C182" s="49" t="s">
        <v>227</v>
      </c>
      <c r="D182" s="49" t="s">
        <v>309</v>
      </c>
      <c r="E182" s="49">
        <v>24.192274999999899</v>
      </c>
      <c r="F182" s="49">
        <v>61.833143</v>
      </c>
      <c r="G182" s="49">
        <v>27</v>
      </c>
      <c r="H182" t="str">
        <f t="shared" si="2"/>
        <v>Dfc</v>
      </c>
    </row>
    <row r="183" spans="1:8" ht="30" x14ac:dyDescent="0.25">
      <c r="A183" s="49">
        <v>181</v>
      </c>
      <c r="B183" s="49" t="s">
        <v>184</v>
      </c>
      <c r="C183" s="49" t="s">
        <v>227</v>
      </c>
      <c r="D183" s="49" t="s">
        <v>309</v>
      </c>
      <c r="E183" s="49">
        <v>29.6099999999999</v>
      </c>
      <c r="F183" s="49">
        <v>67.754900000000006</v>
      </c>
      <c r="G183" s="49">
        <v>27</v>
      </c>
      <c r="H183" t="str">
        <f t="shared" si="2"/>
        <v>Dfc</v>
      </c>
    </row>
    <row r="184" spans="1:8" ht="30" x14ac:dyDescent="0.25">
      <c r="A184" s="49">
        <v>182</v>
      </c>
      <c r="B184" s="49" t="s">
        <v>185</v>
      </c>
      <c r="C184" s="49" t="s">
        <v>295</v>
      </c>
      <c r="D184" s="49" t="s">
        <v>309</v>
      </c>
      <c r="E184" s="49">
        <v>-0.95609200000000005</v>
      </c>
      <c r="F184" s="49">
        <v>44.493651999999898</v>
      </c>
      <c r="G184" s="49">
        <v>15</v>
      </c>
      <c r="H184" t="str">
        <f t="shared" si="2"/>
        <v>Cfb</v>
      </c>
    </row>
    <row r="185" spans="1:8" ht="30" x14ac:dyDescent="0.25">
      <c r="A185" s="49">
        <v>183</v>
      </c>
      <c r="B185" s="49" t="s">
        <v>186</v>
      </c>
      <c r="C185" s="49" t="s">
        <v>252</v>
      </c>
      <c r="D185" s="49" t="s">
        <v>309</v>
      </c>
      <c r="E185" s="49">
        <v>3.0206499999999998</v>
      </c>
      <c r="F185" s="49">
        <v>49.8721099999999</v>
      </c>
      <c r="G185" s="49">
        <v>15</v>
      </c>
      <c r="H185" t="str">
        <f t="shared" si="2"/>
        <v>Cfb</v>
      </c>
    </row>
    <row r="186" spans="1:8" ht="30" x14ac:dyDescent="0.25">
      <c r="A186" s="49">
        <v>184</v>
      </c>
      <c r="B186" s="49" t="s">
        <v>187</v>
      </c>
      <c r="C186" s="49" t="s">
        <v>295</v>
      </c>
      <c r="D186" s="49" t="s">
        <v>309</v>
      </c>
      <c r="E186" s="49">
        <v>7.0641540000000003</v>
      </c>
      <c r="F186" s="49">
        <v>48.674320000000002</v>
      </c>
      <c r="G186" s="49">
        <v>15</v>
      </c>
      <c r="H186" t="str">
        <f t="shared" si="2"/>
        <v>Cfb</v>
      </c>
    </row>
    <row r="187" spans="1:8" ht="30" x14ac:dyDescent="0.25">
      <c r="A187" s="49">
        <v>185</v>
      </c>
      <c r="B187" s="49" t="s">
        <v>188</v>
      </c>
      <c r="C187" s="49" t="s">
        <v>285</v>
      </c>
      <c r="D187" s="49" t="s">
        <v>309</v>
      </c>
      <c r="E187" s="49">
        <v>14.957169</v>
      </c>
      <c r="F187" s="49">
        <v>40.523614000000002</v>
      </c>
      <c r="G187" s="49">
        <v>8</v>
      </c>
      <c r="H187" t="str">
        <f t="shared" si="2"/>
        <v>Csa</v>
      </c>
    </row>
    <row r="188" spans="1:8" ht="30" x14ac:dyDescent="0.25">
      <c r="A188" s="49">
        <v>186</v>
      </c>
      <c r="B188" s="49" t="s">
        <v>189</v>
      </c>
      <c r="C188" s="49" t="s">
        <v>289</v>
      </c>
      <c r="D188" s="49" t="s">
        <v>309</v>
      </c>
      <c r="E188" s="49">
        <v>12.356870000000001</v>
      </c>
      <c r="F188" s="49">
        <v>41.704300000000003</v>
      </c>
      <c r="G188" s="49">
        <v>8</v>
      </c>
      <c r="H188" t="str">
        <f t="shared" si="2"/>
        <v>Csa</v>
      </c>
    </row>
    <row r="189" spans="1:8" ht="30" x14ac:dyDescent="0.25">
      <c r="A189" s="49">
        <v>187</v>
      </c>
      <c r="B189" s="49" t="s">
        <v>190</v>
      </c>
      <c r="C189" s="49" t="s">
        <v>227</v>
      </c>
      <c r="D189" s="49" t="s">
        <v>309</v>
      </c>
      <c r="E189" s="49">
        <v>12.750297</v>
      </c>
      <c r="F189" s="49">
        <v>45.740482</v>
      </c>
      <c r="G189" s="49">
        <v>14</v>
      </c>
      <c r="H189" t="str">
        <f t="shared" si="2"/>
        <v>Cfa</v>
      </c>
    </row>
    <row r="190" spans="1:8" ht="30" x14ac:dyDescent="0.25">
      <c r="A190" s="49">
        <v>188</v>
      </c>
      <c r="B190" s="49" t="s">
        <v>191</v>
      </c>
      <c r="C190" s="49" t="s">
        <v>271</v>
      </c>
      <c r="D190" s="49" t="s">
        <v>309</v>
      </c>
      <c r="E190" s="49">
        <v>10.291491000000001</v>
      </c>
      <c r="F190" s="49">
        <v>43.731912999999899</v>
      </c>
      <c r="G190" s="49">
        <v>8</v>
      </c>
      <c r="H190" t="str">
        <f t="shared" si="2"/>
        <v>Csa</v>
      </c>
    </row>
    <row r="191" spans="1:8" ht="30" x14ac:dyDescent="0.25">
      <c r="A191" s="49">
        <v>189</v>
      </c>
      <c r="B191" s="49" t="s">
        <v>192</v>
      </c>
      <c r="C191" s="49" t="s">
        <v>294</v>
      </c>
      <c r="D191" s="49" t="s">
        <v>309</v>
      </c>
      <c r="E191" s="49">
        <v>7.578055</v>
      </c>
      <c r="F191" s="49">
        <v>45.844439999999899</v>
      </c>
      <c r="G191" s="49">
        <v>27</v>
      </c>
      <c r="H191" t="str">
        <f t="shared" si="2"/>
        <v>Dfc</v>
      </c>
    </row>
    <row r="192" spans="1:8" ht="30" x14ac:dyDescent="0.25">
      <c r="A192" s="49">
        <v>190</v>
      </c>
      <c r="B192" s="49" t="s">
        <v>193</v>
      </c>
      <c r="C192" s="49" t="s">
        <v>284</v>
      </c>
      <c r="D192" s="49" t="s">
        <v>309</v>
      </c>
      <c r="E192" s="49">
        <v>5.7435499999999999</v>
      </c>
      <c r="F192" s="49">
        <v>52.166446999999899</v>
      </c>
      <c r="G192" s="49">
        <v>15</v>
      </c>
      <c r="H192" t="str">
        <f t="shared" si="2"/>
        <v>Cfb</v>
      </c>
    </row>
    <row r="193" spans="1:8" ht="30" x14ac:dyDescent="0.25">
      <c r="A193" s="49">
        <v>191</v>
      </c>
      <c r="B193" s="49" t="s">
        <v>194</v>
      </c>
      <c r="C193" s="49" t="s">
        <v>251</v>
      </c>
      <c r="D193" s="49" t="s">
        <v>309</v>
      </c>
      <c r="E193" s="49">
        <v>32.901878000000004</v>
      </c>
      <c r="F193" s="49">
        <v>56.447603000000001</v>
      </c>
      <c r="G193" s="49">
        <v>26</v>
      </c>
      <c r="H193" t="str">
        <f t="shared" si="2"/>
        <v>Dfb</v>
      </c>
    </row>
    <row r="194" spans="1:8" ht="30" x14ac:dyDescent="0.25">
      <c r="A194" s="49">
        <v>192</v>
      </c>
      <c r="B194" s="49" t="s">
        <v>195</v>
      </c>
      <c r="C194" s="49" t="s">
        <v>296</v>
      </c>
      <c r="D194" s="49" t="s">
        <v>309</v>
      </c>
      <c r="E194" s="49">
        <v>32.922083299999898</v>
      </c>
      <c r="F194" s="49">
        <v>56.461527799999899</v>
      </c>
      <c r="G194" s="49">
        <v>26</v>
      </c>
      <c r="H194" t="str">
        <f t="shared" si="2"/>
        <v>Dfb</v>
      </c>
    </row>
    <row r="195" spans="1:8" ht="30" x14ac:dyDescent="0.25">
      <c r="A195" s="49">
        <v>193</v>
      </c>
      <c r="B195" s="49" t="s">
        <v>196</v>
      </c>
      <c r="C195" s="49" t="s">
        <v>292</v>
      </c>
      <c r="D195" s="49" t="s">
        <v>309</v>
      </c>
      <c r="E195" s="49">
        <v>19.557448000000001</v>
      </c>
      <c r="F195" s="49">
        <v>64.182333</v>
      </c>
      <c r="G195" s="49">
        <v>27</v>
      </c>
      <c r="H195" t="str">
        <f t="shared" ref="H195:H258" si="3">VLOOKUP(G195,$K$2:$L$31,2)</f>
        <v>Dfc</v>
      </c>
    </row>
    <row r="196" spans="1:8" ht="30" x14ac:dyDescent="0.25">
      <c r="A196" s="49">
        <v>194</v>
      </c>
      <c r="B196" s="49" t="s">
        <v>197</v>
      </c>
      <c r="C196" s="49" t="s">
        <v>251</v>
      </c>
      <c r="D196" s="49" t="s">
        <v>309</v>
      </c>
      <c r="E196" s="49">
        <v>13.4178929999999</v>
      </c>
      <c r="F196" s="49">
        <v>56.097566</v>
      </c>
      <c r="G196" s="49">
        <v>26</v>
      </c>
      <c r="H196" t="str">
        <f t="shared" si="3"/>
        <v>Dfb</v>
      </c>
    </row>
    <row r="197" spans="1:8" ht="30" x14ac:dyDescent="0.25">
      <c r="A197" s="49">
        <v>195</v>
      </c>
      <c r="B197" s="49" t="s">
        <v>198</v>
      </c>
      <c r="C197" s="49" t="s">
        <v>295</v>
      </c>
      <c r="D197" s="49" t="s">
        <v>309</v>
      </c>
      <c r="E197" s="49">
        <v>13.10177</v>
      </c>
      <c r="F197" s="49">
        <v>58.340629999999898</v>
      </c>
      <c r="G197" s="49">
        <v>26</v>
      </c>
      <c r="H197" t="str">
        <f t="shared" si="3"/>
        <v>Dfb</v>
      </c>
    </row>
    <row r="198" spans="1:8" ht="30" x14ac:dyDescent="0.25">
      <c r="A198" s="49">
        <v>196</v>
      </c>
      <c r="B198" s="49" t="s">
        <v>199</v>
      </c>
      <c r="C198" s="49" t="s">
        <v>295</v>
      </c>
      <c r="D198" s="49" t="s">
        <v>309</v>
      </c>
      <c r="E198" s="49">
        <v>17.47852</v>
      </c>
      <c r="F198" s="49">
        <v>60.08699</v>
      </c>
      <c r="G198" s="49">
        <v>26</v>
      </c>
      <c r="H198" t="str">
        <f t="shared" si="3"/>
        <v>Dfb</v>
      </c>
    </row>
    <row r="199" spans="1:8" ht="30" x14ac:dyDescent="0.25">
      <c r="A199" s="49">
        <v>197</v>
      </c>
      <c r="B199" s="49" t="s">
        <v>200</v>
      </c>
      <c r="C199" s="49" t="s">
        <v>295</v>
      </c>
      <c r="D199" s="49" t="s">
        <v>309</v>
      </c>
      <c r="E199" s="49">
        <v>19.738</v>
      </c>
      <c r="F199" s="49">
        <v>64.1724999999999</v>
      </c>
      <c r="G199" s="49">
        <v>27</v>
      </c>
      <c r="H199" t="str">
        <f t="shared" si="3"/>
        <v>Dfc</v>
      </c>
    </row>
    <row r="200" spans="1:8" ht="30" x14ac:dyDescent="0.25">
      <c r="A200" s="49">
        <v>198</v>
      </c>
      <c r="B200" s="49" t="s">
        <v>201</v>
      </c>
      <c r="C200" s="49" t="s">
        <v>295</v>
      </c>
      <c r="D200" s="49" t="s">
        <v>309</v>
      </c>
      <c r="E200" s="49">
        <v>19.776502000000001</v>
      </c>
      <c r="F200" s="49">
        <v>64.256304999999898</v>
      </c>
      <c r="G200" s="49">
        <v>27</v>
      </c>
      <c r="H200" t="str">
        <f t="shared" si="3"/>
        <v>Dfc</v>
      </c>
    </row>
    <row r="201" spans="1:8" ht="30" x14ac:dyDescent="0.25">
      <c r="A201" s="49">
        <v>199</v>
      </c>
      <c r="B201" s="49" t="s">
        <v>150</v>
      </c>
      <c r="C201" s="49" t="s">
        <v>297</v>
      </c>
      <c r="D201" s="49" t="s">
        <v>310</v>
      </c>
      <c r="E201" s="49">
        <v>4.5200979999999999</v>
      </c>
      <c r="F201" s="49">
        <v>51.307009999999899</v>
      </c>
      <c r="G201" s="49">
        <v>15</v>
      </c>
      <c r="H201" t="str">
        <f t="shared" si="3"/>
        <v>Cfb</v>
      </c>
    </row>
    <row r="202" spans="1:8" ht="30" x14ac:dyDescent="0.25">
      <c r="A202" s="49">
        <v>200</v>
      </c>
      <c r="B202" s="49" t="s">
        <v>202</v>
      </c>
      <c r="C202" s="49" t="s">
        <v>270</v>
      </c>
      <c r="D202" s="49" t="s">
        <v>310</v>
      </c>
      <c r="E202" s="49">
        <v>4.9681129999999998</v>
      </c>
      <c r="F202" s="49">
        <v>50.311874000000003</v>
      </c>
      <c r="G202" s="49">
        <v>15</v>
      </c>
      <c r="H202" t="str">
        <f t="shared" si="3"/>
        <v>Cfb</v>
      </c>
    </row>
    <row r="203" spans="1:8" ht="30" x14ac:dyDescent="0.25">
      <c r="A203" s="49">
        <v>201</v>
      </c>
      <c r="B203" s="49" t="s">
        <v>203</v>
      </c>
      <c r="C203" s="49" t="s">
        <v>229</v>
      </c>
      <c r="D203" s="49" t="s">
        <v>310</v>
      </c>
      <c r="E203" s="49">
        <v>3.8504299999999998</v>
      </c>
      <c r="F203" s="49">
        <v>51.112180000000002</v>
      </c>
      <c r="G203" s="49">
        <v>15</v>
      </c>
      <c r="H203" t="str">
        <f t="shared" si="3"/>
        <v>Cfb</v>
      </c>
    </row>
    <row r="204" spans="1:8" ht="30" x14ac:dyDescent="0.25">
      <c r="A204" s="49">
        <v>202</v>
      </c>
      <c r="B204" s="49" t="s">
        <v>151</v>
      </c>
      <c r="C204" s="49" t="s">
        <v>298</v>
      </c>
      <c r="D204" s="49" t="s">
        <v>310</v>
      </c>
      <c r="E204" s="49">
        <v>4.7462020000000003</v>
      </c>
      <c r="F204" s="49">
        <v>50.551338000000001</v>
      </c>
      <c r="G204" s="49">
        <v>15</v>
      </c>
      <c r="H204" t="str">
        <f t="shared" si="3"/>
        <v>Cfb</v>
      </c>
    </row>
    <row r="205" spans="1:8" ht="30" x14ac:dyDescent="0.25">
      <c r="A205" s="49">
        <v>203</v>
      </c>
      <c r="B205" s="49" t="s">
        <v>204</v>
      </c>
      <c r="C205" s="49" t="s">
        <v>239</v>
      </c>
      <c r="D205" s="49" t="s">
        <v>310</v>
      </c>
      <c r="E205" s="49">
        <v>5.6308350000000003</v>
      </c>
      <c r="F205" s="49">
        <v>50.980054000000003</v>
      </c>
      <c r="G205" s="49">
        <v>15</v>
      </c>
      <c r="H205" t="str">
        <f t="shared" si="3"/>
        <v>Cfb</v>
      </c>
    </row>
    <row r="206" spans="1:8" ht="30" x14ac:dyDescent="0.25">
      <c r="A206" s="49">
        <v>204</v>
      </c>
      <c r="B206" s="49" t="s">
        <v>152</v>
      </c>
      <c r="C206" s="49" t="s">
        <v>297</v>
      </c>
      <c r="D206" s="49" t="s">
        <v>310</v>
      </c>
      <c r="E206" s="49">
        <v>5.99871</v>
      </c>
      <c r="F206" s="49">
        <v>50.306918000000003</v>
      </c>
      <c r="G206" s="49">
        <v>15</v>
      </c>
      <c r="H206" t="str">
        <f t="shared" si="3"/>
        <v>Cfb</v>
      </c>
    </row>
    <row r="207" spans="1:8" ht="30" x14ac:dyDescent="0.25">
      <c r="A207" s="49">
        <v>205</v>
      </c>
      <c r="B207" s="49" t="s">
        <v>153</v>
      </c>
      <c r="C207" s="49" t="s">
        <v>299</v>
      </c>
      <c r="D207" s="49" t="s">
        <v>310</v>
      </c>
      <c r="E207" s="49">
        <v>9.7904169999999997</v>
      </c>
      <c r="F207" s="49">
        <v>46.583306</v>
      </c>
      <c r="G207" s="49">
        <v>27</v>
      </c>
      <c r="H207" t="str">
        <f t="shared" si="3"/>
        <v>Dfc</v>
      </c>
    </row>
    <row r="208" spans="1:8" ht="30" x14ac:dyDescent="0.25">
      <c r="A208" s="49">
        <v>206</v>
      </c>
      <c r="B208" s="49" t="s">
        <v>154</v>
      </c>
      <c r="C208" s="49" t="s">
        <v>247</v>
      </c>
      <c r="D208" s="49" t="s">
        <v>310</v>
      </c>
      <c r="E208" s="49">
        <v>8.4104399999999906</v>
      </c>
      <c r="F208" s="49">
        <v>47.21022</v>
      </c>
      <c r="G208" s="49">
        <v>15</v>
      </c>
      <c r="H208" t="str">
        <f t="shared" si="3"/>
        <v>Cfb</v>
      </c>
    </row>
    <row r="209" spans="1:8" ht="30" x14ac:dyDescent="0.25">
      <c r="A209" s="49">
        <v>207</v>
      </c>
      <c r="B209" s="49" t="s">
        <v>155</v>
      </c>
      <c r="C209" s="49" t="s">
        <v>300</v>
      </c>
      <c r="D209" s="49" t="s">
        <v>310</v>
      </c>
      <c r="E209" s="49">
        <v>9.8559099999999997</v>
      </c>
      <c r="F209" s="49">
        <v>46.815330000000003</v>
      </c>
      <c r="G209" s="49">
        <v>27</v>
      </c>
      <c r="H209" t="str">
        <f t="shared" si="3"/>
        <v>Dfc</v>
      </c>
    </row>
    <row r="210" spans="1:8" ht="30" x14ac:dyDescent="0.25">
      <c r="A210" s="49">
        <v>208</v>
      </c>
      <c r="B210" s="49" t="s">
        <v>156</v>
      </c>
      <c r="C210" s="49" t="s">
        <v>247</v>
      </c>
      <c r="D210" s="49" t="s">
        <v>310</v>
      </c>
      <c r="E210" s="49">
        <v>8.5377799999999997</v>
      </c>
      <c r="F210" s="49">
        <v>47.115830000000003</v>
      </c>
      <c r="G210" s="49">
        <v>26</v>
      </c>
      <c r="H210" t="str">
        <f t="shared" si="3"/>
        <v>Dfb</v>
      </c>
    </row>
    <row r="211" spans="1:8" ht="30" x14ac:dyDescent="0.25">
      <c r="A211" s="49">
        <v>209</v>
      </c>
      <c r="B211" s="49" t="s">
        <v>157</v>
      </c>
      <c r="C211" s="49" t="s">
        <v>298</v>
      </c>
      <c r="D211" s="49" t="s">
        <v>310</v>
      </c>
      <c r="E211" s="49">
        <v>8.3650000000000002</v>
      </c>
      <c r="F211" s="49">
        <v>47.478079999999899</v>
      </c>
      <c r="G211" s="49">
        <v>15</v>
      </c>
      <c r="H211" t="str">
        <f t="shared" si="3"/>
        <v>Cfb</v>
      </c>
    </row>
    <row r="212" spans="1:8" ht="30" x14ac:dyDescent="0.25">
      <c r="A212" s="49">
        <v>210</v>
      </c>
      <c r="B212" s="49" t="s">
        <v>158</v>
      </c>
      <c r="C212" s="49" t="s">
        <v>298</v>
      </c>
      <c r="D212" s="49" t="s">
        <v>310</v>
      </c>
      <c r="E212" s="49">
        <v>7.7343299999999999</v>
      </c>
      <c r="F212" s="49">
        <v>47.28631</v>
      </c>
      <c r="G212" s="49">
        <v>15</v>
      </c>
      <c r="H212" t="str">
        <f t="shared" si="3"/>
        <v>Cfb</v>
      </c>
    </row>
    <row r="213" spans="1:8" ht="30" x14ac:dyDescent="0.25">
      <c r="A213" s="49">
        <v>211</v>
      </c>
      <c r="B213" s="49" t="s">
        <v>159</v>
      </c>
      <c r="C213" s="49" t="s">
        <v>298</v>
      </c>
      <c r="D213" s="49" t="s">
        <v>310</v>
      </c>
      <c r="E213" s="49">
        <v>18.536881999999899</v>
      </c>
      <c r="F213" s="49">
        <v>49.502074999999898</v>
      </c>
      <c r="G213" s="49">
        <v>26</v>
      </c>
      <c r="H213" t="str">
        <f t="shared" si="3"/>
        <v>Dfb</v>
      </c>
    </row>
    <row r="214" spans="1:8" ht="30" x14ac:dyDescent="0.25">
      <c r="A214" s="49">
        <v>212</v>
      </c>
      <c r="B214" s="49" t="s">
        <v>205</v>
      </c>
      <c r="C214" s="49" t="s">
        <v>230</v>
      </c>
      <c r="D214" s="49" t="s">
        <v>310</v>
      </c>
      <c r="E214" s="49">
        <v>15.078773</v>
      </c>
      <c r="F214" s="49">
        <v>49.573256999999899</v>
      </c>
      <c r="G214" s="49">
        <v>26</v>
      </c>
      <c r="H214" t="str">
        <f t="shared" si="3"/>
        <v>Dfb</v>
      </c>
    </row>
    <row r="215" spans="1:8" ht="30" x14ac:dyDescent="0.25">
      <c r="A215" s="49">
        <v>213</v>
      </c>
      <c r="B215" s="49" t="s">
        <v>160</v>
      </c>
      <c r="C215" s="49" t="s">
        <v>231</v>
      </c>
      <c r="D215" s="49" t="s">
        <v>310</v>
      </c>
      <c r="E215" s="49">
        <v>16.946331000000001</v>
      </c>
      <c r="F215" s="49">
        <v>48.681550000000001</v>
      </c>
      <c r="G215" s="49">
        <v>26</v>
      </c>
      <c r="H215" t="str">
        <f t="shared" si="3"/>
        <v>Dfb</v>
      </c>
    </row>
    <row r="216" spans="1:8" ht="30" x14ac:dyDescent="0.25">
      <c r="A216" s="49">
        <v>214</v>
      </c>
      <c r="B216" s="49" t="s">
        <v>161</v>
      </c>
      <c r="C216" s="49" t="s">
        <v>301</v>
      </c>
      <c r="D216" s="49" t="s">
        <v>310</v>
      </c>
      <c r="E216" s="49">
        <v>16.696512500000001</v>
      </c>
      <c r="F216" s="49">
        <v>49.443723599999899</v>
      </c>
      <c r="G216" s="49">
        <v>26</v>
      </c>
      <c r="H216" t="str">
        <f t="shared" si="3"/>
        <v>Dfb</v>
      </c>
    </row>
    <row r="217" spans="1:8" ht="30" x14ac:dyDescent="0.25">
      <c r="A217" s="49">
        <v>215</v>
      </c>
      <c r="B217" s="49" t="s">
        <v>162</v>
      </c>
      <c r="C217" s="49" t="s">
        <v>255</v>
      </c>
      <c r="D217" s="49" t="s">
        <v>310</v>
      </c>
      <c r="E217" s="49">
        <v>17.9698999999999</v>
      </c>
      <c r="F217" s="49">
        <v>49.035975000000001</v>
      </c>
      <c r="G217" s="49">
        <v>26</v>
      </c>
      <c r="H217" t="str">
        <f t="shared" si="3"/>
        <v>Dfb</v>
      </c>
    </row>
    <row r="218" spans="1:8" ht="30" x14ac:dyDescent="0.25">
      <c r="A218" s="49">
        <v>216</v>
      </c>
      <c r="B218" s="49" t="s">
        <v>163</v>
      </c>
      <c r="C218" s="49" t="s">
        <v>299</v>
      </c>
      <c r="D218" s="49" t="s">
        <v>310</v>
      </c>
      <c r="E218" s="49">
        <v>14.770350000000001</v>
      </c>
      <c r="F218" s="49">
        <v>49.024650000000001</v>
      </c>
      <c r="G218" s="49">
        <v>26</v>
      </c>
      <c r="H218" t="str">
        <f t="shared" si="3"/>
        <v>Dfb</v>
      </c>
    </row>
    <row r="219" spans="1:8" ht="30" x14ac:dyDescent="0.25">
      <c r="A219" s="49">
        <v>217</v>
      </c>
      <c r="B219" s="49" t="s">
        <v>164</v>
      </c>
      <c r="C219" s="49" t="s">
        <v>302</v>
      </c>
      <c r="D219" s="49" t="s">
        <v>310</v>
      </c>
      <c r="E219" s="49">
        <v>13.68342</v>
      </c>
      <c r="F219" s="49">
        <v>53.866169999999897</v>
      </c>
      <c r="G219" s="49">
        <v>15</v>
      </c>
      <c r="H219" t="str">
        <f t="shared" si="3"/>
        <v>Cfb</v>
      </c>
    </row>
    <row r="220" spans="1:8" ht="30" x14ac:dyDescent="0.25">
      <c r="A220" s="49">
        <v>218</v>
      </c>
      <c r="B220" s="49" t="s">
        <v>165</v>
      </c>
      <c r="C220" s="49" t="s">
        <v>263</v>
      </c>
      <c r="D220" s="49" t="s">
        <v>310</v>
      </c>
      <c r="E220" s="49">
        <v>10.9145299999999</v>
      </c>
      <c r="F220" s="49">
        <v>51.099850000000004</v>
      </c>
      <c r="G220" s="49">
        <v>15</v>
      </c>
      <c r="H220" t="str">
        <f t="shared" si="3"/>
        <v>Cfb</v>
      </c>
    </row>
    <row r="221" spans="1:8" ht="30" x14ac:dyDescent="0.25">
      <c r="A221" s="49">
        <v>219</v>
      </c>
      <c r="B221" s="49" t="s">
        <v>166</v>
      </c>
      <c r="C221" s="49" t="s">
        <v>298</v>
      </c>
      <c r="D221" s="49" t="s">
        <v>310</v>
      </c>
      <c r="E221" s="49">
        <v>13.5125899999999</v>
      </c>
      <c r="F221" s="49">
        <v>50.950040000000001</v>
      </c>
      <c r="G221" s="49">
        <v>26</v>
      </c>
      <c r="H221" t="str">
        <f t="shared" si="3"/>
        <v>Dfb</v>
      </c>
    </row>
    <row r="222" spans="1:8" ht="30" x14ac:dyDescent="0.25">
      <c r="A222" s="49">
        <v>220</v>
      </c>
      <c r="B222" s="49" t="s">
        <v>167</v>
      </c>
      <c r="C222" s="49" t="s">
        <v>303</v>
      </c>
      <c r="D222" s="49" t="s">
        <v>310</v>
      </c>
      <c r="E222" s="49">
        <v>10.452089000000001</v>
      </c>
      <c r="F222" s="49">
        <v>51.079407000000003</v>
      </c>
      <c r="G222" s="49">
        <v>26</v>
      </c>
      <c r="H222" t="str">
        <f t="shared" si="3"/>
        <v>Dfb</v>
      </c>
    </row>
    <row r="223" spans="1:8" ht="30" x14ac:dyDescent="0.25">
      <c r="A223" s="49">
        <v>221</v>
      </c>
      <c r="B223" s="49" t="s">
        <v>168</v>
      </c>
      <c r="C223" s="49" t="s">
        <v>231</v>
      </c>
      <c r="D223" s="49" t="s">
        <v>310</v>
      </c>
      <c r="E223" s="49">
        <v>11.221911</v>
      </c>
      <c r="F223" s="49">
        <v>52.086370000000002</v>
      </c>
      <c r="G223" s="49">
        <v>15</v>
      </c>
      <c r="H223" t="str">
        <f t="shared" si="3"/>
        <v>Cfb</v>
      </c>
    </row>
    <row r="224" spans="1:8" ht="30" x14ac:dyDescent="0.25">
      <c r="A224" s="49">
        <v>222</v>
      </c>
      <c r="B224" s="49" t="s">
        <v>170</v>
      </c>
      <c r="C224" s="49" t="s">
        <v>255</v>
      </c>
      <c r="D224" s="49" t="s">
        <v>310</v>
      </c>
      <c r="E224" s="49">
        <v>13.48978</v>
      </c>
      <c r="F224" s="49">
        <v>50.963810000000002</v>
      </c>
      <c r="G224" s="49">
        <v>26</v>
      </c>
      <c r="H224" t="str">
        <f t="shared" si="3"/>
        <v>Dfb</v>
      </c>
    </row>
    <row r="225" spans="1:8" ht="30" x14ac:dyDescent="0.25">
      <c r="A225" s="49">
        <v>223</v>
      </c>
      <c r="B225" s="49" t="s">
        <v>171</v>
      </c>
      <c r="C225" s="49" t="s">
        <v>298</v>
      </c>
      <c r="D225" s="49" t="s">
        <v>310</v>
      </c>
      <c r="E225" s="49">
        <v>13.52238</v>
      </c>
      <c r="F225" s="49">
        <v>50.893059999999899</v>
      </c>
      <c r="G225" s="49">
        <v>26</v>
      </c>
      <c r="H225" t="str">
        <f t="shared" si="3"/>
        <v>Dfb</v>
      </c>
    </row>
    <row r="226" spans="1:8" ht="30" x14ac:dyDescent="0.25">
      <c r="A226" s="49">
        <v>224</v>
      </c>
      <c r="B226" s="49" t="s">
        <v>172</v>
      </c>
      <c r="C226" s="49" t="s">
        <v>246</v>
      </c>
      <c r="D226" s="49" t="s">
        <v>310</v>
      </c>
      <c r="E226" s="49">
        <v>13.72129</v>
      </c>
      <c r="F226" s="49">
        <v>50.786659999999898</v>
      </c>
      <c r="G226" s="49">
        <v>26</v>
      </c>
      <c r="H226" t="str">
        <f t="shared" si="3"/>
        <v>Dfb</v>
      </c>
    </row>
    <row r="227" spans="1:8" ht="30" x14ac:dyDescent="0.25">
      <c r="A227" s="49">
        <v>225</v>
      </c>
      <c r="B227" s="49" t="s">
        <v>173</v>
      </c>
      <c r="C227" s="49" t="s">
        <v>270</v>
      </c>
      <c r="D227" s="49" t="s">
        <v>310</v>
      </c>
      <c r="E227" s="49">
        <v>6.3041260000000001</v>
      </c>
      <c r="F227" s="49">
        <v>50.621913999999897</v>
      </c>
      <c r="G227" s="49">
        <v>15</v>
      </c>
      <c r="H227" t="str">
        <f t="shared" si="3"/>
        <v>Cfb</v>
      </c>
    </row>
    <row r="228" spans="1:8" ht="30" x14ac:dyDescent="0.25">
      <c r="A228" s="49">
        <v>226</v>
      </c>
      <c r="B228" s="49" t="s">
        <v>174</v>
      </c>
      <c r="C228" s="49" t="s">
        <v>270</v>
      </c>
      <c r="D228" s="49" t="s">
        <v>310</v>
      </c>
      <c r="E228" s="49">
        <v>6.447076</v>
      </c>
      <c r="F228" s="49">
        <v>50.866033000000002</v>
      </c>
      <c r="G228" s="49">
        <v>15</v>
      </c>
      <c r="H228" t="str">
        <f t="shared" si="3"/>
        <v>Cfb</v>
      </c>
    </row>
    <row r="229" spans="1:8" ht="30" x14ac:dyDescent="0.25">
      <c r="A229" s="49">
        <v>227</v>
      </c>
      <c r="B229" s="49" t="s">
        <v>175</v>
      </c>
      <c r="C229" s="49" t="s">
        <v>301</v>
      </c>
      <c r="D229" s="49" t="s">
        <v>310</v>
      </c>
      <c r="E229" s="49">
        <v>6.3309626999999997</v>
      </c>
      <c r="F229" s="49">
        <v>50.504930000000002</v>
      </c>
      <c r="G229" s="49">
        <v>15</v>
      </c>
      <c r="H229" t="str">
        <f t="shared" si="3"/>
        <v>Cfb</v>
      </c>
    </row>
    <row r="230" spans="1:8" ht="30" x14ac:dyDescent="0.25">
      <c r="A230" s="49">
        <v>228</v>
      </c>
      <c r="B230" s="49" t="s">
        <v>176</v>
      </c>
      <c r="C230" s="49" t="s">
        <v>297</v>
      </c>
      <c r="D230" s="49" t="s">
        <v>310</v>
      </c>
      <c r="E230" s="49">
        <v>13.5651499999999</v>
      </c>
      <c r="F230" s="49">
        <v>50.962560000000003</v>
      </c>
      <c r="G230" s="49">
        <v>26</v>
      </c>
      <c r="H230" t="str">
        <f t="shared" si="3"/>
        <v>Dfb</v>
      </c>
    </row>
    <row r="231" spans="1:8" ht="30" x14ac:dyDescent="0.25">
      <c r="A231" s="49">
        <v>229</v>
      </c>
      <c r="B231" s="49" t="s">
        <v>206</v>
      </c>
      <c r="C231" s="49" t="s">
        <v>304</v>
      </c>
      <c r="D231" s="49" t="s">
        <v>310</v>
      </c>
      <c r="E231" s="49">
        <v>9.3340999999999905</v>
      </c>
      <c r="F231" s="49">
        <v>56.073700000000002</v>
      </c>
      <c r="G231" s="49">
        <v>15</v>
      </c>
      <c r="H231" t="str">
        <f t="shared" si="3"/>
        <v>Cfb</v>
      </c>
    </row>
    <row r="232" spans="1:8" ht="30" x14ac:dyDescent="0.25">
      <c r="A232" s="49">
        <v>230</v>
      </c>
      <c r="B232" s="49" t="s">
        <v>177</v>
      </c>
      <c r="C232" s="49" t="s">
        <v>297</v>
      </c>
      <c r="D232" s="49" t="s">
        <v>310</v>
      </c>
      <c r="E232" s="49">
        <v>11.6452069999999</v>
      </c>
      <c r="F232" s="49">
        <v>55.486286</v>
      </c>
      <c r="G232" s="49">
        <v>15</v>
      </c>
      <c r="H232" t="str">
        <f t="shared" si="3"/>
        <v>Cfb</v>
      </c>
    </row>
    <row r="233" spans="1:8" ht="30" x14ac:dyDescent="0.25">
      <c r="A233" s="49">
        <v>231</v>
      </c>
      <c r="B233" s="49" t="s">
        <v>178</v>
      </c>
      <c r="C233" s="49" t="s">
        <v>231</v>
      </c>
      <c r="D233" s="49" t="s">
        <v>310</v>
      </c>
      <c r="E233" s="49">
        <v>-6.7858809999999998</v>
      </c>
      <c r="F233" s="49">
        <v>38.701839</v>
      </c>
      <c r="G233" s="49">
        <v>8</v>
      </c>
      <c r="H233" t="str">
        <f t="shared" si="3"/>
        <v>Csa</v>
      </c>
    </row>
    <row r="234" spans="1:8" ht="30" x14ac:dyDescent="0.25">
      <c r="A234" s="49">
        <v>232</v>
      </c>
      <c r="B234" s="49" t="s">
        <v>207</v>
      </c>
      <c r="C234" s="49" t="s">
        <v>299</v>
      </c>
      <c r="D234" s="49" t="s">
        <v>310</v>
      </c>
      <c r="E234" s="49">
        <v>-2.0332080000000001</v>
      </c>
      <c r="F234" s="49">
        <v>36.940046000000002</v>
      </c>
      <c r="G234" s="49">
        <v>4</v>
      </c>
      <c r="H234" t="str">
        <f t="shared" si="3"/>
        <v>BWh</v>
      </c>
    </row>
    <row r="235" spans="1:8" ht="30" x14ac:dyDescent="0.25">
      <c r="A235" s="49">
        <v>233</v>
      </c>
      <c r="B235" s="49" t="s">
        <v>208</v>
      </c>
      <c r="C235" s="49" t="s">
        <v>230</v>
      </c>
      <c r="D235" s="49" t="s">
        <v>310</v>
      </c>
      <c r="E235" s="49">
        <v>-3.2276590000000001</v>
      </c>
      <c r="F235" s="49">
        <v>37.914997999999898</v>
      </c>
      <c r="G235" s="49">
        <v>8</v>
      </c>
      <c r="H235" t="str">
        <f t="shared" si="3"/>
        <v>Csa</v>
      </c>
    </row>
    <row r="236" spans="1:8" ht="30" x14ac:dyDescent="0.25">
      <c r="A236" s="49">
        <v>234</v>
      </c>
      <c r="B236" s="49" t="s">
        <v>209</v>
      </c>
      <c r="C236" s="49" t="s">
        <v>298</v>
      </c>
      <c r="D236" s="49" t="s">
        <v>310</v>
      </c>
      <c r="E236" s="49">
        <v>-2.7521149999999999</v>
      </c>
      <c r="F236" s="49">
        <v>36.926594000000001</v>
      </c>
      <c r="G236" s="49">
        <v>9</v>
      </c>
      <c r="H236" t="str">
        <f t="shared" si="3"/>
        <v>Csb</v>
      </c>
    </row>
    <row r="237" spans="1:8" ht="30" x14ac:dyDescent="0.25">
      <c r="A237" s="49">
        <v>235</v>
      </c>
      <c r="B237" s="49" t="s">
        <v>179</v>
      </c>
      <c r="C237" s="49" t="s">
        <v>230</v>
      </c>
      <c r="D237" s="49" t="s">
        <v>310</v>
      </c>
      <c r="E237" s="49">
        <v>-5.778683</v>
      </c>
      <c r="F237" s="49">
        <v>39.942689999999899</v>
      </c>
      <c r="G237" s="49">
        <v>8</v>
      </c>
      <c r="H237" t="str">
        <f t="shared" si="3"/>
        <v>Csa</v>
      </c>
    </row>
    <row r="238" spans="1:8" ht="30" x14ac:dyDescent="0.25">
      <c r="A238" s="49">
        <v>236</v>
      </c>
      <c r="B238" s="49" t="s">
        <v>180</v>
      </c>
      <c r="C238" s="49" t="s">
        <v>230</v>
      </c>
      <c r="D238" s="49" t="s">
        <v>310</v>
      </c>
      <c r="E238" s="49">
        <v>-5.775881</v>
      </c>
      <c r="F238" s="49">
        <v>39.934592000000002</v>
      </c>
      <c r="G238" s="49">
        <v>8</v>
      </c>
      <c r="H238" t="str">
        <f t="shared" si="3"/>
        <v>Csa</v>
      </c>
    </row>
    <row r="239" spans="1:8" ht="30" x14ac:dyDescent="0.25">
      <c r="A239" s="49">
        <v>237</v>
      </c>
      <c r="B239" s="49" t="s">
        <v>181</v>
      </c>
      <c r="C239" s="49" t="s">
        <v>297</v>
      </c>
      <c r="D239" s="49" t="s">
        <v>310</v>
      </c>
      <c r="E239" s="49">
        <v>24.2939709999999</v>
      </c>
      <c r="F239" s="49">
        <v>61.847718999999898</v>
      </c>
      <c r="G239" s="49">
        <v>27</v>
      </c>
      <c r="H239" t="str">
        <f t="shared" si="3"/>
        <v>Dfc</v>
      </c>
    </row>
    <row r="240" spans="1:8" ht="30" x14ac:dyDescent="0.25">
      <c r="A240" s="49">
        <v>238</v>
      </c>
      <c r="B240" s="49" t="s">
        <v>210</v>
      </c>
      <c r="C240" s="49" t="s">
        <v>267</v>
      </c>
      <c r="D240" s="49" t="s">
        <v>310</v>
      </c>
      <c r="E240" s="49">
        <v>24.243010000000002</v>
      </c>
      <c r="F240" s="49">
        <v>67.987210000000005</v>
      </c>
      <c r="G240" s="49">
        <v>27</v>
      </c>
      <c r="H240" t="str">
        <f t="shared" si="3"/>
        <v>Dfc</v>
      </c>
    </row>
    <row r="241" spans="1:8" ht="30" x14ac:dyDescent="0.25">
      <c r="A241" s="49">
        <v>239</v>
      </c>
      <c r="B241" s="49" t="s">
        <v>182</v>
      </c>
      <c r="C241" s="49" t="s">
        <v>302</v>
      </c>
      <c r="D241" s="49" t="s">
        <v>310</v>
      </c>
      <c r="E241" s="49">
        <v>23.959520000000001</v>
      </c>
      <c r="F241" s="49">
        <v>60.641829999999899</v>
      </c>
      <c r="G241" s="49">
        <v>26</v>
      </c>
      <c r="H241" t="str">
        <f t="shared" si="3"/>
        <v>Dfb</v>
      </c>
    </row>
    <row r="242" spans="1:8" ht="30" x14ac:dyDescent="0.25">
      <c r="A242" s="49">
        <v>240</v>
      </c>
      <c r="B242" s="49" t="s">
        <v>211</v>
      </c>
      <c r="C242" s="49" t="s">
        <v>267</v>
      </c>
      <c r="D242" s="49" t="s">
        <v>310</v>
      </c>
      <c r="E242" s="49">
        <v>22.391607</v>
      </c>
      <c r="F242" s="49">
        <v>60.295242000000002</v>
      </c>
      <c r="G242" s="49">
        <v>26</v>
      </c>
      <c r="H242" t="str">
        <f t="shared" si="3"/>
        <v>Dfb</v>
      </c>
    </row>
    <row r="243" spans="1:8" ht="30" x14ac:dyDescent="0.25">
      <c r="A243" s="49">
        <v>241</v>
      </c>
      <c r="B243" s="49" t="s">
        <v>183</v>
      </c>
      <c r="C243" s="49" t="s">
        <v>239</v>
      </c>
      <c r="D243" s="49" t="s">
        <v>310</v>
      </c>
      <c r="E243" s="49">
        <v>24.192274999999899</v>
      </c>
      <c r="F243" s="49">
        <v>61.833143</v>
      </c>
      <c r="G243" s="49">
        <v>27</v>
      </c>
      <c r="H243" t="str">
        <f t="shared" si="3"/>
        <v>Dfc</v>
      </c>
    </row>
    <row r="244" spans="1:8" ht="30" x14ac:dyDescent="0.25">
      <c r="A244" s="49">
        <v>242</v>
      </c>
      <c r="B244" s="49" t="s">
        <v>184</v>
      </c>
      <c r="C244" s="49" t="s">
        <v>239</v>
      </c>
      <c r="D244" s="49" t="s">
        <v>310</v>
      </c>
      <c r="E244" s="49">
        <v>29.6099999999999</v>
      </c>
      <c r="F244" s="49">
        <v>67.754900000000006</v>
      </c>
      <c r="G244" s="49">
        <v>27</v>
      </c>
      <c r="H244" t="str">
        <f t="shared" si="3"/>
        <v>Dfc</v>
      </c>
    </row>
    <row r="245" spans="1:8" ht="30" x14ac:dyDescent="0.25">
      <c r="A245" s="49">
        <v>243</v>
      </c>
      <c r="B245" s="49" t="s">
        <v>212</v>
      </c>
      <c r="C245" s="49" t="s">
        <v>247</v>
      </c>
      <c r="D245" s="49" t="s">
        <v>310</v>
      </c>
      <c r="E245" s="49">
        <v>1.1061030000000001</v>
      </c>
      <c r="F245" s="49">
        <v>43.54965</v>
      </c>
      <c r="G245" s="49">
        <v>14</v>
      </c>
      <c r="H245" t="str">
        <f t="shared" si="3"/>
        <v>Cfa</v>
      </c>
    </row>
    <row r="246" spans="1:8" ht="30" x14ac:dyDescent="0.25">
      <c r="A246" s="49">
        <v>244</v>
      </c>
      <c r="B246" s="49" t="s">
        <v>185</v>
      </c>
      <c r="C246" s="49" t="s">
        <v>230</v>
      </c>
      <c r="D246" s="49" t="s">
        <v>310</v>
      </c>
      <c r="E246" s="49">
        <v>-0.95609200000000005</v>
      </c>
      <c r="F246" s="49">
        <v>44.493651999999898</v>
      </c>
      <c r="G246" s="49">
        <v>15</v>
      </c>
      <c r="H246" t="str">
        <f t="shared" si="3"/>
        <v>Cfb</v>
      </c>
    </row>
    <row r="247" spans="1:8" ht="30" x14ac:dyDescent="0.25">
      <c r="A247" s="49">
        <v>245</v>
      </c>
      <c r="B247" s="49" t="s">
        <v>213</v>
      </c>
      <c r="C247" s="49" t="s">
        <v>246</v>
      </c>
      <c r="D247" s="49" t="s">
        <v>310</v>
      </c>
      <c r="E247" s="49">
        <v>5.6786500000000002</v>
      </c>
      <c r="F247" s="49">
        <v>43.240789999999897</v>
      </c>
      <c r="G247" s="49">
        <v>8</v>
      </c>
      <c r="H247" t="str">
        <f t="shared" si="3"/>
        <v>Csa</v>
      </c>
    </row>
    <row r="248" spans="1:8" ht="30" x14ac:dyDescent="0.25">
      <c r="A248" s="49">
        <v>246</v>
      </c>
      <c r="B248" s="49" t="s">
        <v>214</v>
      </c>
      <c r="C248" s="49" t="s">
        <v>247</v>
      </c>
      <c r="D248" s="49" t="s">
        <v>310</v>
      </c>
      <c r="E248" s="49">
        <v>2.7805580000000001</v>
      </c>
      <c r="F248" s="49">
        <v>48.4762249999999</v>
      </c>
      <c r="G248" s="49">
        <v>15</v>
      </c>
      <c r="H248" t="str">
        <f t="shared" si="3"/>
        <v>Cfb</v>
      </c>
    </row>
    <row r="249" spans="1:8" ht="30" x14ac:dyDescent="0.25">
      <c r="A249" s="49">
        <v>247</v>
      </c>
      <c r="B249" s="49" t="s">
        <v>215</v>
      </c>
      <c r="C249" s="49" t="s">
        <v>298</v>
      </c>
      <c r="D249" s="49" t="s">
        <v>310</v>
      </c>
      <c r="E249" s="49">
        <v>1.9519299999999999</v>
      </c>
      <c r="F249" s="49">
        <v>48.8441499999999</v>
      </c>
      <c r="G249" s="49">
        <v>15</v>
      </c>
      <c r="H249" t="str">
        <f t="shared" si="3"/>
        <v>Cfb</v>
      </c>
    </row>
    <row r="250" spans="1:8" ht="30" x14ac:dyDescent="0.25">
      <c r="A250" s="49">
        <v>248</v>
      </c>
      <c r="B250" s="49" t="s">
        <v>187</v>
      </c>
      <c r="C250" s="49" t="s">
        <v>230</v>
      </c>
      <c r="D250" s="49" t="s">
        <v>310</v>
      </c>
      <c r="E250" s="49">
        <v>7.0641540000000003</v>
      </c>
      <c r="F250" s="49">
        <v>48.674320000000002</v>
      </c>
      <c r="G250" s="49">
        <v>15</v>
      </c>
      <c r="H250" t="str">
        <f t="shared" si="3"/>
        <v>Cfb</v>
      </c>
    </row>
    <row r="251" spans="1:8" ht="30" x14ac:dyDescent="0.25">
      <c r="A251" s="49">
        <v>249</v>
      </c>
      <c r="B251" s="49" t="s">
        <v>216</v>
      </c>
      <c r="C251" s="49" t="s">
        <v>247</v>
      </c>
      <c r="D251" s="49" t="s">
        <v>310</v>
      </c>
      <c r="E251" s="49">
        <v>2.2841019999999999</v>
      </c>
      <c r="F251" s="49">
        <v>47.322918000000001</v>
      </c>
      <c r="G251" s="49">
        <v>15</v>
      </c>
      <c r="H251" t="str">
        <f t="shared" si="3"/>
        <v>Cfb</v>
      </c>
    </row>
    <row r="252" spans="1:8" ht="30" x14ac:dyDescent="0.25">
      <c r="A252" s="49">
        <v>250</v>
      </c>
      <c r="B252" s="49" t="s">
        <v>217</v>
      </c>
      <c r="C252" s="49" t="s">
        <v>243</v>
      </c>
      <c r="D252" s="49" t="s">
        <v>310</v>
      </c>
      <c r="E252" s="49">
        <v>1.2381770000000001</v>
      </c>
      <c r="F252" s="49">
        <v>43.496478000000003</v>
      </c>
      <c r="G252" s="49">
        <v>14</v>
      </c>
      <c r="H252" t="str">
        <f t="shared" si="3"/>
        <v>Cfa</v>
      </c>
    </row>
    <row r="253" spans="1:8" ht="30" x14ac:dyDescent="0.25">
      <c r="A253" s="49">
        <v>251</v>
      </c>
      <c r="B253" s="49" t="s">
        <v>218</v>
      </c>
      <c r="C253" s="49" t="s">
        <v>267</v>
      </c>
      <c r="D253" s="49" t="s">
        <v>310</v>
      </c>
      <c r="E253" s="49">
        <v>1.3747400000000001</v>
      </c>
      <c r="F253" s="49">
        <v>43.5728569999999</v>
      </c>
      <c r="G253" s="49">
        <v>14</v>
      </c>
      <c r="H253" t="str">
        <f t="shared" si="3"/>
        <v>Cfa</v>
      </c>
    </row>
    <row r="254" spans="1:8" ht="30" x14ac:dyDescent="0.25">
      <c r="A254" s="49">
        <v>252</v>
      </c>
      <c r="B254" s="49" t="s">
        <v>219</v>
      </c>
      <c r="C254" s="49" t="s">
        <v>298</v>
      </c>
      <c r="D254" s="49" t="s">
        <v>310</v>
      </c>
      <c r="E254" s="49">
        <v>-52.924799999999898</v>
      </c>
      <c r="F254" s="49">
        <v>5.2786999999999997</v>
      </c>
      <c r="G254" s="49">
        <v>2</v>
      </c>
      <c r="H254" t="str">
        <f t="shared" si="3"/>
        <v>Am</v>
      </c>
    </row>
    <row r="255" spans="1:8" ht="30" x14ac:dyDescent="0.25">
      <c r="A255" s="49">
        <v>253</v>
      </c>
      <c r="B255" s="49" t="s">
        <v>220</v>
      </c>
      <c r="C255" s="49" t="s">
        <v>304</v>
      </c>
      <c r="D255" s="49" t="s">
        <v>310</v>
      </c>
      <c r="E255" s="49">
        <v>-53.514130000000002</v>
      </c>
      <c r="F255" s="49">
        <v>69.2534899999999</v>
      </c>
      <c r="G255" s="49">
        <v>29</v>
      </c>
      <c r="H255" t="str">
        <f t="shared" si="3"/>
        <v>ET</v>
      </c>
    </row>
    <row r="256" spans="1:8" ht="30" x14ac:dyDescent="0.25">
      <c r="A256" s="49">
        <v>254</v>
      </c>
      <c r="B256" s="49" t="s">
        <v>221</v>
      </c>
      <c r="C256" s="49" t="s">
        <v>304</v>
      </c>
      <c r="D256" s="49" t="s">
        <v>310</v>
      </c>
      <c r="E256" s="49">
        <v>-7.641769</v>
      </c>
      <c r="F256" s="49">
        <v>53.322978499999898</v>
      </c>
      <c r="G256" s="49">
        <v>15</v>
      </c>
      <c r="H256" t="str">
        <f t="shared" si="3"/>
        <v>Cfb</v>
      </c>
    </row>
    <row r="257" spans="1:8" ht="30" x14ac:dyDescent="0.25">
      <c r="A257" s="49">
        <v>255</v>
      </c>
      <c r="B257" s="49" t="s">
        <v>222</v>
      </c>
      <c r="C257" s="49" t="s">
        <v>303</v>
      </c>
      <c r="D257" s="49" t="s">
        <v>310</v>
      </c>
      <c r="E257" s="49">
        <v>35.051988510000001</v>
      </c>
      <c r="F257" s="49">
        <v>31.345044590000001</v>
      </c>
      <c r="G257" s="49">
        <v>8</v>
      </c>
      <c r="H257" t="str">
        <f t="shared" si="3"/>
        <v>Csa</v>
      </c>
    </row>
    <row r="258" spans="1:8" ht="30" x14ac:dyDescent="0.25">
      <c r="A258" s="49">
        <v>256</v>
      </c>
      <c r="B258" s="49" t="s">
        <v>188</v>
      </c>
      <c r="C258" s="49" t="s">
        <v>298</v>
      </c>
      <c r="D258" s="49" t="s">
        <v>310</v>
      </c>
      <c r="E258" s="49">
        <v>14.957169</v>
      </c>
      <c r="F258" s="49">
        <v>40.523614000000002</v>
      </c>
      <c r="G258" s="49">
        <v>8</v>
      </c>
      <c r="H258" t="str">
        <f t="shared" si="3"/>
        <v>Csa</v>
      </c>
    </row>
    <row r="259" spans="1:8" ht="30" x14ac:dyDescent="0.25">
      <c r="A259" s="49">
        <v>257</v>
      </c>
      <c r="B259" s="49" t="s">
        <v>223</v>
      </c>
      <c r="C259" s="49" t="s">
        <v>229</v>
      </c>
      <c r="D259" s="49" t="s">
        <v>310</v>
      </c>
      <c r="E259" s="49">
        <v>10.741966</v>
      </c>
      <c r="F259" s="49">
        <v>45.197754000000003</v>
      </c>
      <c r="G259" s="49">
        <v>14</v>
      </c>
      <c r="H259" t="str">
        <f t="shared" ref="H259:H273" si="4">VLOOKUP(G259,$K$2:$L$31,2)</f>
        <v>Cfa</v>
      </c>
    </row>
    <row r="260" spans="1:8" ht="30" x14ac:dyDescent="0.25">
      <c r="A260" s="49">
        <v>258</v>
      </c>
      <c r="B260" s="49" t="s">
        <v>189</v>
      </c>
      <c r="C260" s="49" t="s">
        <v>301</v>
      </c>
      <c r="D260" s="49" t="s">
        <v>310</v>
      </c>
      <c r="E260" s="49">
        <v>12.356870000000001</v>
      </c>
      <c r="F260" s="49">
        <v>41.704300000000003</v>
      </c>
      <c r="G260" s="49">
        <v>8</v>
      </c>
      <c r="H260" t="str">
        <f t="shared" si="4"/>
        <v>Csa</v>
      </c>
    </row>
    <row r="261" spans="1:8" ht="30" x14ac:dyDescent="0.25">
      <c r="A261" s="49">
        <v>259</v>
      </c>
      <c r="B261" s="49" t="s">
        <v>224</v>
      </c>
      <c r="C261" s="49" t="s">
        <v>235</v>
      </c>
      <c r="D261" s="49" t="s">
        <v>310</v>
      </c>
      <c r="E261" s="49">
        <v>11.2813199999999</v>
      </c>
      <c r="F261" s="49">
        <v>45.956200000000003</v>
      </c>
      <c r="G261" s="49">
        <v>26</v>
      </c>
      <c r="H261" t="str">
        <f t="shared" si="4"/>
        <v>Dfb</v>
      </c>
    </row>
    <row r="262" spans="1:8" ht="30" x14ac:dyDescent="0.25">
      <c r="A262" s="49">
        <v>260</v>
      </c>
      <c r="B262" s="49" t="s">
        <v>190</v>
      </c>
      <c r="C262" s="49" t="s">
        <v>239</v>
      </c>
      <c r="D262" s="49" t="s">
        <v>310</v>
      </c>
      <c r="E262" s="49">
        <v>12.750297</v>
      </c>
      <c r="F262" s="49">
        <v>45.740482</v>
      </c>
      <c r="G262" s="49">
        <v>14</v>
      </c>
      <c r="H262" t="str">
        <f t="shared" si="4"/>
        <v>Cfa</v>
      </c>
    </row>
    <row r="263" spans="1:8" ht="30" x14ac:dyDescent="0.25">
      <c r="A263" s="49">
        <v>261</v>
      </c>
      <c r="B263" s="49" t="s">
        <v>225</v>
      </c>
      <c r="C263" s="49" t="s">
        <v>235</v>
      </c>
      <c r="D263" s="49" t="s">
        <v>310</v>
      </c>
      <c r="E263" s="49">
        <v>11.045831</v>
      </c>
      <c r="F263" s="49">
        <v>46.014679999999899</v>
      </c>
      <c r="G263" s="49">
        <v>26</v>
      </c>
      <c r="H263" t="str">
        <f t="shared" si="4"/>
        <v>Dfb</v>
      </c>
    </row>
    <row r="264" spans="1:8" ht="30" x14ac:dyDescent="0.25">
      <c r="A264" s="49">
        <v>262</v>
      </c>
      <c r="B264" s="49" t="s">
        <v>226</v>
      </c>
      <c r="C264" s="49" t="s">
        <v>253</v>
      </c>
      <c r="D264" s="49" t="s">
        <v>310</v>
      </c>
      <c r="E264" s="49">
        <v>11.43369</v>
      </c>
      <c r="F264" s="49">
        <v>46.586860000000001</v>
      </c>
      <c r="G264" s="49">
        <v>27</v>
      </c>
      <c r="H264" t="str">
        <f t="shared" si="4"/>
        <v>Dfc</v>
      </c>
    </row>
    <row r="265" spans="1:8" ht="30" x14ac:dyDescent="0.25">
      <c r="A265" s="49">
        <v>263</v>
      </c>
      <c r="B265" s="49" t="s">
        <v>191</v>
      </c>
      <c r="C265" s="49" t="s">
        <v>305</v>
      </c>
      <c r="D265" s="49" t="s">
        <v>310</v>
      </c>
      <c r="E265" s="49">
        <v>10.291491000000001</v>
      </c>
      <c r="F265" s="49">
        <v>43.731912999999899</v>
      </c>
      <c r="G265" s="49">
        <v>8</v>
      </c>
      <c r="H265" t="str">
        <f t="shared" si="4"/>
        <v>Csa</v>
      </c>
    </row>
    <row r="266" spans="1:8" ht="30" x14ac:dyDescent="0.25">
      <c r="A266" s="49">
        <v>264</v>
      </c>
      <c r="B266" s="49" t="s">
        <v>192</v>
      </c>
      <c r="C266" s="49" t="s">
        <v>246</v>
      </c>
      <c r="D266" s="49" t="s">
        <v>310</v>
      </c>
      <c r="E266" s="49">
        <v>7.578055</v>
      </c>
      <c r="F266" s="49">
        <v>45.844439999999899</v>
      </c>
      <c r="G266" s="49">
        <v>27</v>
      </c>
      <c r="H266" t="str">
        <f t="shared" si="4"/>
        <v>Dfc</v>
      </c>
    </row>
    <row r="267" spans="1:8" ht="30" x14ac:dyDescent="0.25">
      <c r="A267" s="49">
        <v>265</v>
      </c>
      <c r="B267" s="49" t="s">
        <v>194</v>
      </c>
      <c r="C267" s="49" t="s">
        <v>231</v>
      </c>
      <c r="D267" s="49" t="s">
        <v>310</v>
      </c>
      <c r="E267" s="49">
        <v>32.901878000000004</v>
      </c>
      <c r="F267" s="49">
        <v>56.447603000000001</v>
      </c>
      <c r="G267" s="49">
        <v>26</v>
      </c>
      <c r="H267" t="str">
        <f t="shared" si="4"/>
        <v>Dfb</v>
      </c>
    </row>
    <row r="268" spans="1:8" ht="30" x14ac:dyDescent="0.25">
      <c r="A268" s="49">
        <v>266</v>
      </c>
      <c r="B268" s="49" t="s">
        <v>195</v>
      </c>
      <c r="C268" s="49" t="s">
        <v>306</v>
      </c>
      <c r="D268" s="49" t="s">
        <v>310</v>
      </c>
      <c r="E268" s="49">
        <v>32.922083299999898</v>
      </c>
      <c r="F268" s="49">
        <v>56.461527799999899</v>
      </c>
      <c r="G268" s="49">
        <v>26</v>
      </c>
      <c r="H268" t="str">
        <f t="shared" si="4"/>
        <v>Dfb</v>
      </c>
    </row>
    <row r="269" spans="1:8" ht="30" x14ac:dyDescent="0.25">
      <c r="A269" s="49">
        <v>267</v>
      </c>
      <c r="B269" s="49" t="s">
        <v>196</v>
      </c>
      <c r="C269" s="49" t="s">
        <v>263</v>
      </c>
      <c r="D269" s="49" t="s">
        <v>310</v>
      </c>
      <c r="E269" s="49">
        <v>19.557448000000001</v>
      </c>
      <c r="F269" s="49">
        <v>64.182333</v>
      </c>
      <c r="G269" s="49">
        <v>27</v>
      </c>
      <c r="H269" t="str">
        <f t="shared" si="4"/>
        <v>Dfc</v>
      </c>
    </row>
    <row r="270" spans="1:8" ht="30" x14ac:dyDescent="0.25">
      <c r="A270" s="49">
        <v>268</v>
      </c>
      <c r="B270" s="49" t="s">
        <v>197</v>
      </c>
      <c r="C270" s="49" t="s">
        <v>231</v>
      </c>
      <c r="D270" s="49" t="s">
        <v>310</v>
      </c>
      <c r="E270" s="49">
        <v>13.4178929999999</v>
      </c>
      <c r="F270" s="49">
        <v>56.097566</v>
      </c>
      <c r="G270" s="49">
        <v>26</v>
      </c>
      <c r="H270" t="str">
        <f t="shared" si="4"/>
        <v>Dfb</v>
      </c>
    </row>
    <row r="271" spans="1:8" ht="30" x14ac:dyDescent="0.25">
      <c r="A271" s="49">
        <v>269</v>
      </c>
      <c r="B271" s="49" t="s">
        <v>199</v>
      </c>
      <c r="C271" s="49" t="s">
        <v>230</v>
      </c>
      <c r="D271" s="49" t="s">
        <v>310</v>
      </c>
      <c r="E271" s="49">
        <v>17.47852</v>
      </c>
      <c r="F271" s="49">
        <v>60.08699</v>
      </c>
      <c r="G271" s="49">
        <v>26</v>
      </c>
      <c r="H271" t="str">
        <f t="shared" si="4"/>
        <v>Dfb</v>
      </c>
    </row>
    <row r="272" spans="1:8" ht="30" x14ac:dyDescent="0.25">
      <c r="A272" s="49">
        <v>270</v>
      </c>
      <c r="B272" s="49" t="s">
        <v>200</v>
      </c>
      <c r="C272" s="49" t="s">
        <v>230</v>
      </c>
      <c r="D272" s="49" t="s">
        <v>310</v>
      </c>
      <c r="E272" s="49">
        <v>19.738</v>
      </c>
      <c r="F272" s="49">
        <v>64.1724999999999</v>
      </c>
      <c r="G272" s="49">
        <v>27</v>
      </c>
      <c r="H272" t="str">
        <f t="shared" si="4"/>
        <v>Dfc</v>
      </c>
    </row>
    <row r="273" spans="1:8" ht="30" x14ac:dyDescent="0.25">
      <c r="A273" s="49">
        <v>271</v>
      </c>
      <c r="B273" s="49" t="s">
        <v>201</v>
      </c>
      <c r="C273" s="49" t="s">
        <v>230</v>
      </c>
      <c r="D273" s="49" t="s">
        <v>310</v>
      </c>
      <c r="E273" s="49">
        <v>19.776502000000001</v>
      </c>
      <c r="F273" s="49">
        <v>64.256304999999898</v>
      </c>
      <c r="G273" s="49">
        <v>27</v>
      </c>
      <c r="H273" t="str">
        <f t="shared" si="4"/>
        <v>Dfc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"/>
  <sheetViews>
    <sheetView topLeftCell="A169" workbookViewId="0">
      <selection activeCell="B198" sqref="B198"/>
    </sheetView>
  </sheetViews>
  <sheetFormatPr defaultRowHeight="15" x14ac:dyDescent="0.25"/>
  <cols>
    <col min="7" max="7" width="18.140625" bestFit="1" customWidth="1"/>
    <col min="8" max="8" width="12.28515625" bestFit="1" customWidth="1"/>
  </cols>
  <sheetData>
    <row r="1" spans="1:8" x14ac:dyDescent="0.25">
      <c r="A1" t="s">
        <v>3158</v>
      </c>
    </row>
    <row r="2" spans="1:8" x14ac:dyDescent="0.25">
      <c r="B2" s="1" t="s">
        <v>0</v>
      </c>
      <c r="C2" s="1" t="s">
        <v>1</v>
      </c>
      <c r="D2" s="1" t="s">
        <v>2</v>
      </c>
      <c r="E2" s="2" t="s">
        <v>311</v>
      </c>
      <c r="F2" s="2" t="s">
        <v>312</v>
      </c>
      <c r="G2" s="2" t="s">
        <v>313</v>
      </c>
      <c r="H2" s="2" t="s">
        <v>3421</v>
      </c>
    </row>
    <row r="3" spans="1:8" x14ac:dyDescent="0.25">
      <c r="A3" s="1">
        <v>0</v>
      </c>
      <c r="B3" t="s">
        <v>3</v>
      </c>
      <c r="C3" t="s">
        <v>227</v>
      </c>
      <c r="D3" t="s">
        <v>307</v>
      </c>
      <c r="E3">
        <v>-66.733500000000006</v>
      </c>
      <c r="F3">
        <v>-54.973300000000002</v>
      </c>
    </row>
    <row r="4" spans="1:8" x14ac:dyDescent="0.25">
      <c r="A4" s="1">
        <v>1</v>
      </c>
      <c r="B4" t="s">
        <v>4</v>
      </c>
      <c r="C4" t="s">
        <v>228</v>
      </c>
      <c r="D4" t="s">
        <v>307</v>
      </c>
      <c r="E4">
        <v>-79.933300000000003</v>
      </c>
      <c r="F4">
        <v>44.316699999999997</v>
      </c>
    </row>
    <row r="5" spans="1:8" x14ac:dyDescent="0.25">
      <c r="A5" s="1">
        <v>2</v>
      </c>
      <c r="B5" t="s">
        <v>5</v>
      </c>
      <c r="C5" t="s">
        <v>229</v>
      </c>
      <c r="D5" t="s">
        <v>307</v>
      </c>
      <c r="E5">
        <v>-122.99509999999999</v>
      </c>
      <c r="F5">
        <v>49.119</v>
      </c>
    </row>
    <row r="6" spans="1:8" x14ac:dyDescent="0.25">
      <c r="A6" s="1">
        <v>3</v>
      </c>
      <c r="B6" t="s">
        <v>6</v>
      </c>
      <c r="C6" t="s">
        <v>230</v>
      </c>
      <c r="D6" t="s">
        <v>307</v>
      </c>
      <c r="E6">
        <v>-122.9849</v>
      </c>
      <c r="F6">
        <v>49.129300000000001</v>
      </c>
    </row>
    <row r="7" spans="1:8" x14ac:dyDescent="0.25">
      <c r="A7" s="1">
        <v>4</v>
      </c>
      <c r="B7" t="s">
        <v>7</v>
      </c>
      <c r="C7" t="s">
        <v>231</v>
      </c>
      <c r="D7" t="s">
        <v>307</v>
      </c>
      <c r="E7">
        <v>-80.412300000000002</v>
      </c>
      <c r="F7">
        <v>43.640500000000003</v>
      </c>
    </row>
    <row r="8" spans="1:8" x14ac:dyDescent="0.25">
      <c r="A8" s="1">
        <v>5</v>
      </c>
      <c r="B8" t="s">
        <v>8</v>
      </c>
      <c r="C8" t="s">
        <v>232</v>
      </c>
      <c r="D8" t="s">
        <v>307</v>
      </c>
      <c r="E8">
        <v>-122.84139999999999</v>
      </c>
      <c r="F8">
        <v>55.111899999999999</v>
      </c>
    </row>
    <row r="9" spans="1:8" x14ac:dyDescent="0.25">
      <c r="A9" s="1">
        <v>6</v>
      </c>
      <c r="B9" t="s">
        <v>9</v>
      </c>
      <c r="C9" t="s">
        <v>233</v>
      </c>
      <c r="D9" t="s">
        <v>307</v>
      </c>
      <c r="E9">
        <v>-73.319000000000003</v>
      </c>
      <c r="F9">
        <v>-3.8344</v>
      </c>
    </row>
    <row r="10" spans="1:8" x14ac:dyDescent="0.25">
      <c r="A10" s="1">
        <v>7</v>
      </c>
      <c r="B10" t="s">
        <v>10</v>
      </c>
      <c r="C10" t="s">
        <v>234</v>
      </c>
      <c r="D10" t="s">
        <v>307</v>
      </c>
      <c r="E10">
        <v>-89.606700000000004</v>
      </c>
      <c r="F10">
        <v>46.030799999999999</v>
      </c>
    </row>
    <row r="11" spans="1:8" x14ac:dyDescent="0.25">
      <c r="A11" s="1">
        <v>8</v>
      </c>
      <c r="B11" t="s">
        <v>11</v>
      </c>
      <c r="C11" t="s">
        <v>235</v>
      </c>
      <c r="D11" t="s">
        <v>307</v>
      </c>
      <c r="E11">
        <v>-97.488799999999998</v>
      </c>
      <c r="F11">
        <v>36.605800000000002</v>
      </c>
    </row>
    <row r="12" spans="1:8" x14ac:dyDescent="0.25">
      <c r="A12" s="1">
        <v>9</v>
      </c>
      <c r="B12" t="s">
        <v>12</v>
      </c>
      <c r="C12" t="s">
        <v>236</v>
      </c>
      <c r="D12" t="s">
        <v>307</v>
      </c>
      <c r="E12">
        <v>-71.2881</v>
      </c>
      <c r="F12">
        <v>44.064599999999999</v>
      </c>
    </row>
    <row r="13" spans="1:8" x14ac:dyDescent="0.25">
      <c r="A13" s="1">
        <v>10</v>
      </c>
      <c r="B13" t="s">
        <v>13</v>
      </c>
      <c r="C13" t="s">
        <v>237</v>
      </c>
      <c r="D13" t="s">
        <v>307</v>
      </c>
      <c r="E13">
        <v>-121.49930000000001</v>
      </c>
      <c r="F13">
        <v>38.099200000000003</v>
      </c>
    </row>
    <row r="14" spans="1:8" x14ac:dyDescent="0.25">
      <c r="A14" s="1">
        <v>11</v>
      </c>
      <c r="B14" t="s">
        <v>14</v>
      </c>
      <c r="C14" t="s">
        <v>238</v>
      </c>
      <c r="D14" t="s">
        <v>307</v>
      </c>
      <c r="E14">
        <v>-121.5351</v>
      </c>
      <c r="F14">
        <v>38.109099999999998</v>
      </c>
    </row>
    <row r="15" spans="1:8" x14ac:dyDescent="0.25">
      <c r="A15" s="1">
        <v>12</v>
      </c>
      <c r="B15" t="s">
        <v>15</v>
      </c>
      <c r="C15" t="s">
        <v>239</v>
      </c>
      <c r="D15" t="s">
        <v>307</v>
      </c>
      <c r="E15">
        <v>-86.540599999999998</v>
      </c>
      <c r="F15">
        <v>39.216700000000003</v>
      </c>
    </row>
    <row r="16" spans="1:8" x14ac:dyDescent="0.25">
      <c r="A16" s="1">
        <v>13</v>
      </c>
      <c r="B16" t="s">
        <v>16</v>
      </c>
      <c r="C16" t="s">
        <v>240</v>
      </c>
      <c r="D16" t="s">
        <v>307</v>
      </c>
      <c r="E16">
        <v>-148.32079999999999</v>
      </c>
      <c r="F16">
        <v>64.695499999999996</v>
      </c>
    </row>
    <row r="17" spans="1:6" x14ac:dyDescent="0.25">
      <c r="A17" s="1">
        <v>14</v>
      </c>
      <c r="B17" t="s">
        <v>17</v>
      </c>
      <c r="C17" t="s">
        <v>240</v>
      </c>
      <c r="D17" t="s">
        <v>307</v>
      </c>
      <c r="E17">
        <v>-148.31209999999999</v>
      </c>
      <c r="F17">
        <v>64.701300000000003</v>
      </c>
    </row>
    <row r="18" spans="1:6" x14ac:dyDescent="0.25">
      <c r="A18" s="1">
        <v>15</v>
      </c>
      <c r="B18" t="s">
        <v>18</v>
      </c>
      <c r="C18" t="s">
        <v>241</v>
      </c>
      <c r="D18" t="s">
        <v>307</v>
      </c>
      <c r="E18">
        <v>-148.33000000000001</v>
      </c>
      <c r="F18">
        <v>64.693600000000004</v>
      </c>
    </row>
    <row r="19" spans="1:6" x14ac:dyDescent="0.25">
      <c r="A19" s="1">
        <v>16</v>
      </c>
      <c r="B19" t="s">
        <v>19</v>
      </c>
      <c r="C19" t="s">
        <v>242</v>
      </c>
      <c r="D19" t="s">
        <v>307</v>
      </c>
      <c r="E19">
        <v>-148.3235</v>
      </c>
      <c r="F19">
        <v>64.696299999999994</v>
      </c>
    </row>
    <row r="20" spans="1:6" x14ac:dyDescent="0.25">
      <c r="A20" s="1">
        <v>17</v>
      </c>
      <c r="B20" t="s">
        <v>20</v>
      </c>
      <c r="C20" t="s">
        <v>243</v>
      </c>
      <c r="D20" t="s">
        <v>307</v>
      </c>
      <c r="E20">
        <v>-117.0821</v>
      </c>
      <c r="F20">
        <v>46.781500000000001</v>
      </c>
    </row>
    <row r="21" spans="1:6" x14ac:dyDescent="0.25">
      <c r="A21" s="1">
        <v>18</v>
      </c>
      <c r="B21" t="s">
        <v>21</v>
      </c>
      <c r="C21" t="s">
        <v>243</v>
      </c>
      <c r="D21" t="s">
        <v>307</v>
      </c>
      <c r="E21">
        <v>-117.0908</v>
      </c>
      <c r="F21">
        <v>46.783999999999999</v>
      </c>
    </row>
    <row r="22" spans="1:6" x14ac:dyDescent="0.25">
      <c r="A22" s="1">
        <v>19</v>
      </c>
      <c r="B22" t="s">
        <v>22</v>
      </c>
      <c r="C22" t="s">
        <v>238</v>
      </c>
      <c r="D22" t="s">
        <v>307</v>
      </c>
      <c r="E22">
        <v>-117.12609999999999</v>
      </c>
      <c r="F22">
        <v>46.755099999999999</v>
      </c>
    </row>
    <row r="23" spans="1:6" x14ac:dyDescent="0.25">
      <c r="A23" s="1">
        <v>20</v>
      </c>
      <c r="B23" t="s">
        <v>23</v>
      </c>
      <c r="C23" t="s">
        <v>238</v>
      </c>
      <c r="D23" t="s">
        <v>307</v>
      </c>
      <c r="E23">
        <v>-117.1285</v>
      </c>
      <c r="F23">
        <v>46.751800000000003</v>
      </c>
    </row>
    <row r="24" spans="1:6" x14ac:dyDescent="0.25">
      <c r="A24" s="1">
        <v>21</v>
      </c>
      <c r="B24" t="s">
        <v>24</v>
      </c>
      <c r="C24" t="s">
        <v>233</v>
      </c>
      <c r="D24" t="s">
        <v>307</v>
      </c>
      <c r="E24">
        <v>-89.537899999999993</v>
      </c>
      <c r="F24">
        <v>44.103099999999998</v>
      </c>
    </row>
    <row r="25" spans="1:6" x14ac:dyDescent="0.25">
      <c r="A25" s="1">
        <v>22</v>
      </c>
      <c r="B25" t="s">
        <v>25</v>
      </c>
      <c r="C25" t="s">
        <v>241</v>
      </c>
      <c r="D25" t="s">
        <v>307</v>
      </c>
      <c r="E25">
        <v>-89.500200000000007</v>
      </c>
      <c r="F25">
        <v>44.146700000000003</v>
      </c>
    </row>
    <row r="26" spans="1:6" x14ac:dyDescent="0.25">
      <c r="A26" s="1">
        <v>23</v>
      </c>
      <c r="B26" t="s">
        <v>26</v>
      </c>
      <c r="C26" t="s">
        <v>229</v>
      </c>
      <c r="D26" t="s">
        <v>307</v>
      </c>
      <c r="E26">
        <v>-89.572699999999998</v>
      </c>
      <c r="F26">
        <v>44.139400000000002</v>
      </c>
    </row>
    <row r="27" spans="1:6" x14ac:dyDescent="0.25">
      <c r="A27" s="1">
        <v>24</v>
      </c>
      <c r="B27" t="s">
        <v>27</v>
      </c>
      <c r="C27" t="s">
        <v>244</v>
      </c>
      <c r="D27" t="s">
        <v>307</v>
      </c>
      <c r="E27">
        <v>-89.547499999999999</v>
      </c>
      <c r="F27">
        <v>44.159700000000001</v>
      </c>
    </row>
    <row r="28" spans="1:6" x14ac:dyDescent="0.25">
      <c r="A28" s="1">
        <v>25</v>
      </c>
      <c r="B28" t="s">
        <v>28</v>
      </c>
      <c r="C28" t="s">
        <v>241</v>
      </c>
      <c r="D28" t="s">
        <v>307</v>
      </c>
      <c r="E28">
        <v>-89.711699999999993</v>
      </c>
      <c r="F28">
        <v>43.344799999999999</v>
      </c>
    </row>
    <row r="29" spans="1:6" x14ac:dyDescent="0.25">
      <c r="A29" s="1">
        <v>26</v>
      </c>
      <c r="B29" t="s">
        <v>29</v>
      </c>
      <c r="C29" t="s">
        <v>245</v>
      </c>
      <c r="D29" t="s">
        <v>307</v>
      </c>
      <c r="E29">
        <v>-121.54900000000001</v>
      </c>
      <c r="F29">
        <v>38.1235</v>
      </c>
    </row>
    <row r="30" spans="1:6" x14ac:dyDescent="0.25">
      <c r="A30" s="1">
        <v>27</v>
      </c>
      <c r="B30" t="s">
        <v>30</v>
      </c>
      <c r="C30" t="s">
        <v>233</v>
      </c>
      <c r="D30" t="s">
        <v>307</v>
      </c>
      <c r="E30">
        <v>-122.114</v>
      </c>
      <c r="F30">
        <v>37.615600000000001</v>
      </c>
    </row>
    <row r="31" spans="1:6" x14ac:dyDescent="0.25">
      <c r="A31" s="1">
        <v>28</v>
      </c>
      <c r="B31" t="s">
        <v>31</v>
      </c>
      <c r="C31" t="s">
        <v>246</v>
      </c>
      <c r="D31" t="s">
        <v>307</v>
      </c>
      <c r="E31">
        <v>-149.25360000000001</v>
      </c>
      <c r="F31">
        <v>63.878399999999999</v>
      </c>
    </row>
    <row r="32" spans="1:6" x14ac:dyDescent="0.25">
      <c r="A32" s="1">
        <v>29</v>
      </c>
      <c r="B32" t="s">
        <v>32</v>
      </c>
      <c r="C32" t="s">
        <v>247</v>
      </c>
      <c r="D32" t="s">
        <v>307</v>
      </c>
      <c r="E32">
        <v>-106.23990000000001</v>
      </c>
      <c r="F32">
        <v>41.366500000000002</v>
      </c>
    </row>
    <row r="33" spans="1:6" x14ac:dyDescent="0.25">
      <c r="A33" s="1">
        <v>30</v>
      </c>
      <c r="B33" t="s">
        <v>33</v>
      </c>
      <c r="C33" t="s">
        <v>248</v>
      </c>
      <c r="D33" t="s">
        <v>307</v>
      </c>
      <c r="E33">
        <v>-72.171499999999995</v>
      </c>
      <c r="F33">
        <v>42.537799999999997</v>
      </c>
    </row>
    <row r="34" spans="1:6" x14ac:dyDescent="0.25">
      <c r="A34" s="1">
        <v>31</v>
      </c>
      <c r="B34" t="s">
        <v>34</v>
      </c>
      <c r="C34" t="s">
        <v>249</v>
      </c>
      <c r="D34" t="s">
        <v>307</v>
      </c>
      <c r="E34">
        <v>-79.195700000000002</v>
      </c>
      <c r="F34">
        <v>33.345500000000001</v>
      </c>
    </row>
    <row r="35" spans="1:6" x14ac:dyDescent="0.25">
      <c r="A35" s="1">
        <v>32</v>
      </c>
      <c r="B35" t="s">
        <v>35</v>
      </c>
      <c r="C35" t="s">
        <v>249</v>
      </c>
      <c r="D35" t="s">
        <v>307</v>
      </c>
      <c r="E35">
        <v>-79.244</v>
      </c>
      <c r="F35">
        <v>33.324199999999998</v>
      </c>
    </row>
    <row r="36" spans="1:6" x14ac:dyDescent="0.25">
      <c r="A36" s="1">
        <v>33</v>
      </c>
      <c r="B36" t="s">
        <v>36</v>
      </c>
      <c r="C36" t="s">
        <v>250</v>
      </c>
      <c r="D36" t="s">
        <v>307</v>
      </c>
      <c r="E36">
        <v>-79.232200000000006</v>
      </c>
      <c r="F36">
        <v>33.348199999999999</v>
      </c>
    </row>
    <row r="37" spans="1:6" x14ac:dyDescent="0.25">
      <c r="A37" s="1">
        <v>34</v>
      </c>
      <c r="B37" t="s">
        <v>37</v>
      </c>
      <c r="C37" t="s">
        <v>251</v>
      </c>
      <c r="D37" t="s">
        <v>307</v>
      </c>
      <c r="E37">
        <v>-119.4641</v>
      </c>
      <c r="F37">
        <v>46.688899999999997</v>
      </c>
    </row>
    <row r="38" spans="1:6" x14ac:dyDescent="0.25">
      <c r="A38" s="1">
        <v>35</v>
      </c>
      <c r="B38" t="s">
        <v>38</v>
      </c>
      <c r="C38" t="s">
        <v>252</v>
      </c>
      <c r="D38" t="s">
        <v>307</v>
      </c>
      <c r="E38">
        <v>-119.4614</v>
      </c>
      <c r="F38">
        <v>46.687800000000003</v>
      </c>
    </row>
    <row r="39" spans="1:6" x14ac:dyDescent="0.25">
      <c r="A39" s="1">
        <v>36</v>
      </c>
      <c r="B39" t="s">
        <v>39</v>
      </c>
      <c r="C39" t="s">
        <v>253</v>
      </c>
      <c r="D39" t="s">
        <v>307</v>
      </c>
      <c r="E39">
        <v>-68.747</v>
      </c>
      <c r="F39">
        <v>45.209099999999999</v>
      </c>
    </row>
    <row r="40" spans="1:6" x14ac:dyDescent="0.25">
      <c r="A40" s="1">
        <v>37</v>
      </c>
      <c r="B40" t="s">
        <v>40</v>
      </c>
      <c r="C40" t="s">
        <v>251</v>
      </c>
      <c r="D40" t="s">
        <v>307</v>
      </c>
      <c r="E40">
        <v>-77.848799999999997</v>
      </c>
      <c r="F40">
        <v>40.860799999999998</v>
      </c>
    </row>
    <row r="41" spans="1:6" x14ac:dyDescent="0.25">
      <c r="A41" s="1">
        <v>38</v>
      </c>
      <c r="B41" t="s">
        <v>41</v>
      </c>
      <c r="C41" t="s">
        <v>254</v>
      </c>
      <c r="D41" t="s">
        <v>307</v>
      </c>
      <c r="E41">
        <v>-149.29580000000001</v>
      </c>
      <c r="F41">
        <v>68.606800000000007</v>
      </c>
    </row>
    <row r="42" spans="1:6" x14ac:dyDescent="0.25">
      <c r="A42" s="1">
        <v>39</v>
      </c>
      <c r="B42" t="s">
        <v>42</v>
      </c>
      <c r="C42" t="s">
        <v>232</v>
      </c>
      <c r="D42" t="s">
        <v>307</v>
      </c>
      <c r="E42">
        <v>-149.31100000000001</v>
      </c>
      <c r="F42">
        <v>68.605800000000002</v>
      </c>
    </row>
    <row r="43" spans="1:6" x14ac:dyDescent="0.25">
      <c r="A43" s="1">
        <v>40</v>
      </c>
      <c r="B43" t="s">
        <v>43</v>
      </c>
      <c r="C43" t="s">
        <v>254</v>
      </c>
      <c r="D43" t="s">
        <v>307</v>
      </c>
      <c r="E43">
        <v>-149.30410000000001</v>
      </c>
      <c r="F43">
        <v>68.606300000000005</v>
      </c>
    </row>
    <row r="44" spans="1:6" x14ac:dyDescent="0.25">
      <c r="A44" s="1">
        <v>41</v>
      </c>
      <c r="B44" t="s">
        <v>44</v>
      </c>
      <c r="C44" t="s">
        <v>255</v>
      </c>
      <c r="D44" t="s">
        <v>307</v>
      </c>
      <c r="E44">
        <v>-106.63500000000001</v>
      </c>
      <c r="F44">
        <v>32.582000000000001</v>
      </c>
    </row>
    <row r="45" spans="1:6" x14ac:dyDescent="0.25">
      <c r="A45" s="1">
        <v>42</v>
      </c>
      <c r="B45" t="s">
        <v>45</v>
      </c>
      <c r="C45" t="s">
        <v>255</v>
      </c>
      <c r="D45" t="s">
        <v>307</v>
      </c>
      <c r="E45">
        <v>-106.6032</v>
      </c>
      <c r="F45">
        <v>32.584899999999998</v>
      </c>
    </row>
    <row r="46" spans="1:6" x14ac:dyDescent="0.25">
      <c r="A46" s="1">
        <v>43</v>
      </c>
      <c r="B46" t="s">
        <v>46</v>
      </c>
      <c r="C46" t="s">
        <v>256</v>
      </c>
      <c r="D46" t="s">
        <v>307</v>
      </c>
      <c r="E46">
        <v>-95.190700000000007</v>
      </c>
      <c r="F46">
        <v>39.056100000000001</v>
      </c>
    </row>
    <row r="47" spans="1:6" x14ac:dyDescent="0.25">
      <c r="A47" s="1">
        <v>44</v>
      </c>
      <c r="B47" t="s">
        <v>47</v>
      </c>
      <c r="C47" t="s">
        <v>257</v>
      </c>
      <c r="D47" t="s">
        <v>307</v>
      </c>
      <c r="E47">
        <v>-97.568399999999997</v>
      </c>
      <c r="F47">
        <v>38.774500000000003</v>
      </c>
    </row>
    <row r="48" spans="1:6" x14ac:dyDescent="0.25">
      <c r="A48" s="1">
        <v>45</v>
      </c>
      <c r="B48" t="s">
        <v>48</v>
      </c>
      <c r="C48" t="s">
        <v>258</v>
      </c>
      <c r="D48" t="s">
        <v>307</v>
      </c>
      <c r="E48">
        <v>-96.560299999999998</v>
      </c>
      <c r="F48">
        <v>39.0824</v>
      </c>
    </row>
    <row r="49" spans="1:6" x14ac:dyDescent="0.25">
      <c r="A49" s="1">
        <v>46</v>
      </c>
      <c r="B49" t="s">
        <v>49</v>
      </c>
      <c r="C49" t="s">
        <v>259</v>
      </c>
      <c r="D49" t="s">
        <v>307</v>
      </c>
      <c r="E49">
        <v>-80.742699999999999</v>
      </c>
      <c r="F49">
        <v>28.708400000000001</v>
      </c>
    </row>
    <row r="50" spans="1:6" x14ac:dyDescent="0.25">
      <c r="A50" s="1">
        <v>47</v>
      </c>
      <c r="B50" t="s">
        <v>50</v>
      </c>
      <c r="C50" t="s">
        <v>260</v>
      </c>
      <c r="D50" t="s">
        <v>307</v>
      </c>
      <c r="E50">
        <v>-121.55889999999999</v>
      </c>
      <c r="F50">
        <v>44.452599999999997</v>
      </c>
    </row>
    <row r="51" spans="1:6" x14ac:dyDescent="0.25">
      <c r="A51" s="1">
        <v>48</v>
      </c>
      <c r="B51" t="s">
        <v>51</v>
      </c>
      <c r="C51" t="s">
        <v>242</v>
      </c>
      <c r="D51" t="s">
        <v>307</v>
      </c>
      <c r="E51">
        <v>-121.6078</v>
      </c>
      <c r="F51">
        <v>44.323300000000003</v>
      </c>
    </row>
    <row r="52" spans="1:6" x14ac:dyDescent="0.25">
      <c r="A52" s="1">
        <v>49</v>
      </c>
      <c r="B52" t="s">
        <v>52</v>
      </c>
      <c r="C52" t="s">
        <v>253</v>
      </c>
      <c r="D52" t="s">
        <v>307</v>
      </c>
      <c r="E52">
        <v>-86.4131</v>
      </c>
      <c r="F52">
        <v>39.3232</v>
      </c>
    </row>
    <row r="53" spans="1:6" x14ac:dyDescent="0.25">
      <c r="A53" s="1">
        <v>50</v>
      </c>
      <c r="B53" t="s">
        <v>53</v>
      </c>
      <c r="C53" t="s">
        <v>234</v>
      </c>
      <c r="D53" t="s">
        <v>307</v>
      </c>
      <c r="E53">
        <v>-92.116699999999994</v>
      </c>
      <c r="F53">
        <v>39.229799999999997</v>
      </c>
    </row>
    <row r="54" spans="1:6" x14ac:dyDescent="0.25">
      <c r="A54" s="1">
        <v>51</v>
      </c>
      <c r="B54" t="s">
        <v>54</v>
      </c>
      <c r="C54" t="s">
        <v>241</v>
      </c>
      <c r="D54" t="s">
        <v>307</v>
      </c>
      <c r="E54">
        <v>-91.994500000000002</v>
      </c>
      <c r="F54">
        <v>38.948799999999999</v>
      </c>
    </row>
    <row r="55" spans="1:6" x14ac:dyDescent="0.25">
      <c r="A55" s="1">
        <v>52</v>
      </c>
      <c r="B55" t="s">
        <v>55</v>
      </c>
      <c r="C55" t="s">
        <v>237</v>
      </c>
      <c r="D55" t="s">
        <v>307</v>
      </c>
      <c r="E55">
        <v>-92.149699999999996</v>
      </c>
      <c r="F55">
        <v>39.231099999999998</v>
      </c>
    </row>
    <row r="56" spans="1:6" x14ac:dyDescent="0.25">
      <c r="A56" s="1">
        <v>53</v>
      </c>
      <c r="B56" t="s">
        <v>56</v>
      </c>
      <c r="C56" t="s">
        <v>258</v>
      </c>
      <c r="D56" t="s">
        <v>307</v>
      </c>
      <c r="E56">
        <v>-92.2</v>
      </c>
      <c r="F56">
        <v>38.744100000000003</v>
      </c>
    </row>
    <row r="57" spans="1:6" x14ac:dyDescent="0.25">
      <c r="A57" s="1">
        <v>54</v>
      </c>
      <c r="B57" t="s">
        <v>57</v>
      </c>
      <c r="C57" t="s">
        <v>246</v>
      </c>
      <c r="D57" t="s">
        <v>307</v>
      </c>
      <c r="E57">
        <v>-106.2377</v>
      </c>
      <c r="F57">
        <v>34.438499999999998</v>
      </c>
    </row>
    <row r="58" spans="1:6" x14ac:dyDescent="0.25">
      <c r="A58" s="1">
        <v>55</v>
      </c>
      <c r="B58" t="s">
        <v>58</v>
      </c>
      <c r="C58" t="s">
        <v>242</v>
      </c>
      <c r="D58" t="s">
        <v>307</v>
      </c>
      <c r="E58">
        <v>-121.765</v>
      </c>
      <c r="F58">
        <v>38.049900000000001</v>
      </c>
    </row>
    <row r="59" spans="1:6" x14ac:dyDescent="0.25">
      <c r="A59" s="1">
        <v>56</v>
      </c>
      <c r="B59" t="s">
        <v>59</v>
      </c>
      <c r="C59" t="s">
        <v>261</v>
      </c>
      <c r="D59" t="s">
        <v>307</v>
      </c>
      <c r="E59">
        <v>-76.656000000000006</v>
      </c>
      <c r="F59">
        <v>35.798999999999999</v>
      </c>
    </row>
    <row r="60" spans="1:6" x14ac:dyDescent="0.25">
      <c r="A60" s="1">
        <v>57</v>
      </c>
      <c r="B60" t="s">
        <v>60</v>
      </c>
      <c r="C60" t="s">
        <v>262</v>
      </c>
      <c r="D60" t="s">
        <v>307</v>
      </c>
      <c r="E60">
        <v>-75.903800000000004</v>
      </c>
      <c r="F60">
        <v>35.7879</v>
      </c>
    </row>
    <row r="61" spans="1:6" x14ac:dyDescent="0.25">
      <c r="A61" s="1">
        <v>58</v>
      </c>
      <c r="B61" t="s">
        <v>61</v>
      </c>
      <c r="C61" t="s">
        <v>263</v>
      </c>
      <c r="D61" t="s">
        <v>307</v>
      </c>
      <c r="E61">
        <v>-96.476600000000005</v>
      </c>
      <c r="F61">
        <v>41.165100000000002</v>
      </c>
    </row>
    <row r="62" spans="1:6" x14ac:dyDescent="0.25">
      <c r="A62" s="1">
        <v>59</v>
      </c>
      <c r="B62" t="s">
        <v>62</v>
      </c>
      <c r="C62" t="s">
        <v>257</v>
      </c>
      <c r="D62" t="s">
        <v>307</v>
      </c>
      <c r="E62">
        <v>-156.60919999999999</v>
      </c>
      <c r="F62">
        <v>71.28</v>
      </c>
    </row>
    <row r="63" spans="1:6" x14ac:dyDescent="0.25">
      <c r="A63" s="1">
        <v>60</v>
      </c>
      <c r="B63" t="s">
        <v>63</v>
      </c>
      <c r="C63" t="s">
        <v>264</v>
      </c>
      <c r="D63" t="s">
        <v>307</v>
      </c>
      <c r="E63">
        <v>-163.7002</v>
      </c>
      <c r="F63">
        <v>64.861800000000002</v>
      </c>
    </row>
    <row r="64" spans="1:6" x14ac:dyDescent="0.25">
      <c r="A64" s="1">
        <v>61</v>
      </c>
      <c r="B64" t="s">
        <v>64</v>
      </c>
      <c r="C64" t="s">
        <v>231</v>
      </c>
      <c r="D64" t="s">
        <v>307</v>
      </c>
      <c r="E64">
        <v>-81.950900000000004</v>
      </c>
      <c r="F64">
        <v>27.383600000000001</v>
      </c>
    </row>
    <row r="65" spans="1:6" x14ac:dyDescent="0.25">
      <c r="A65" s="1">
        <v>62</v>
      </c>
      <c r="B65" t="s">
        <v>65</v>
      </c>
      <c r="C65" t="s">
        <v>237</v>
      </c>
      <c r="D65" t="s">
        <v>307</v>
      </c>
      <c r="E65">
        <v>-89.415800000000004</v>
      </c>
      <c r="F65">
        <v>43.089599999999997</v>
      </c>
    </row>
    <row r="66" spans="1:6" x14ac:dyDescent="0.25">
      <c r="A66" s="1">
        <v>63</v>
      </c>
      <c r="B66" t="s">
        <v>66</v>
      </c>
      <c r="C66" t="s">
        <v>245</v>
      </c>
      <c r="D66" t="s">
        <v>307</v>
      </c>
      <c r="E66">
        <v>-91.673299999999998</v>
      </c>
      <c r="F66">
        <v>34.415900000000001</v>
      </c>
    </row>
    <row r="67" spans="1:6" x14ac:dyDescent="0.25">
      <c r="A67" s="1">
        <v>64</v>
      </c>
      <c r="B67" t="s">
        <v>67</v>
      </c>
      <c r="C67" t="s">
        <v>245</v>
      </c>
      <c r="D67" t="s">
        <v>307</v>
      </c>
      <c r="E67">
        <v>-121.8579</v>
      </c>
      <c r="F67">
        <v>39.578200000000002</v>
      </c>
    </row>
    <row r="68" spans="1:6" x14ac:dyDescent="0.25">
      <c r="A68" s="1">
        <v>65</v>
      </c>
      <c r="B68" t="s">
        <v>68</v>
      </c>
      <c r="C68" t="s">
        <v>245</v>
      </c>
      <c r="D68" t="s">
        <v>307</v>
      </c>
      <c r="E68">
        <v>-122.0026</v>
      </c>
      <c r="F68">
        <v>39.680500000000002</v>
      </c>
    </row>
    <row r="69" spans="1:6" x14ac:dyDescent="0.25">
      <c r="A69" s="1">
        <v>66</v>
      </c>
      <c r="B69" t="s">
        <v>69</v>
      </c>
      <c r="C69" t="s">
        <v>265</v>
      </c>
      <c r="D69" t="s">
        <v>307</v>
      </c>
      <c r="E69">
        <v>-116.73560000000001</v>
      </c>
      <c r="F69">
        <v>43.143900000000002</v>
      </c>
    </row>
    <row r="70" spans="1:6" x14ac:dyDescent="0.25">
      <c r="A70" s="1">
        <v>67</v>
      </c>
      <c r="B70" t="s">
        <v>70</v>
      </c>
      <c r="C70" t="s">
        <v>230</v>
      </c>
      <c r="D70" t="s">
        <v>307</v>
      </c>
      <c r="E70">
        <v>-116.7486</v>
      </c>
      <c r="F70">
        <v>43.064500000000002</v>
      </c>
    </row>
    <row r="71" spans="1:6" x14ac:dyDescent="0.25">
      <c r="A71" s="1">
        <v>68</v>
      </c>
      <c r="B71" t="s">
        <v>71</v>
      </c>
      <c r="C71" t="s">
        <v>265</v>
      </c>
      <c r="D71" t="s">
        <v>307</v>
      </c>
      <c r="E71">
        <v>-93.072299999999998</v>
      </c>
      <c r="F71">
        <v>44.678100000000001</v>
      </c>
    </row>
    <row r="72" spans="1:6" x14ac:dyDescent="0.25">
      <c r="A72" s="1">
        <v>69</v>
      </c>
      <c r="B72" t="s">
        <v>72</v>
      </c>
      <c r="C72" t="s">
        <v>243</v>
      </c>
      <c r="D72" t="s">
        <v>307</v>
      </c>
      <c r="E72">
        <v>-93.057599999999994</v>
      </c>
      <c r="F72">
        <v>44.691000000000003</v>
      </c>
    </row>
    <row r="73" spans="1:6" x14ac:dyDescent="0.25">
      <c r="A73" s="1">
        <v>70</v>
      </c>
      <c r="B73" t="s">
        <v>73</v>
      </c>
      <c r="C73" t="s">
        <v>238</v>
      </c>
      <c r="D73" t="s">
        <v>307</v>
      </c>
      <c r="E73">
        <v>-93.0578</v>
      </c>
      <c r="F73">
        <v>44.694600000000001</v>
      </c>
    </row>
    <row r="74" spans="1:6" x14ac:dyDescent="0.25">
      <c r="A74" s="1">
        <v>71</v>
      </c>
      <c r="B74" t="s">
        <v>74</v>
      </c>
      <c r="C74" t="s">
        <v>266</v>
      </c>
      <c r="D74" t="s">
        <v>307</v>
      </c>
      <c r="E74">
        <v>-147.429</v>
      </c>
      <c r="F74">
        <v>65.119799999999998</v>
      </c>
    </row>
    <row r="75" spans="1:6" x14ac:dyDescent="0.25">
      <c r="A75" s="1">
        <v>72</v>
      </c>
      <c r="B75" t="s">
        <v>75</v>
      </c>
      <c r="C75" t="s">
        <v>230</v>
      </c>
      <c r="D75" t="s">
        <v>307</v>
      </c>
      <c r="E75">
        <v>-116.7231</v>
      </c>
      <c r="F75">
        <v>43.120699999999999</v>
      </c>
    </row>
    <row r="76" spans="1:6" x14ac:dyDescent="0.25">
      <c r="A76" s="1">
        <v>73</v>
      </c>
      <c r="B76" t="s">
        <v>76</v>
      </c>
      <c r="C76" t="s">
        <v>230</v>
      </c>
      <c r="D76" t="s">
        <v>307</v>
      </c>
      <c r="E76">
        <v>-116.7132</v>
      </c>
      <c r="F76">
        <v>43.167499999999997</v>
      </c>
    </row>
    <row r="77" spans="1:6" x14ac:dyDescent="0.25">
      <c r="A77" s="1">
        <v>74</v>
      </c>
      <c r="B77" t="s">
        <v>77</v>
      </c>
      <c r="C77" t="s">
        <v>254</v>
      </c>
      <c r="D77" t="s">
        <v>307</v>
      </c>
      <c r="E77">
        <v>-106.702</v>
      </c>
      <c r="F77">
        <v>34.362299999999998</v>
      </c>
    </row>
    <row r="78" spans="1:6" x14ac:dyDescent="0.25">
      <c r="A78" s="1">
        <v>75</v>
      </c>
      <c r="B78" t="s">
        <v>78</v>
      </c>
      <c r="C78" t="s">
        <v>254</v>
      </c>
      <c r="D78" t="s">
        <v>307</v>
      </c>
      <c r="E78">
        <v>-106.74420000000001</v>
      </c>
      <c r="F78">
        <v>34.334899999999998</v>
      </c>
    </row>
    <row r="79" spans="1:6" x14ac:dyDescent="0.25">
      <c r="A79" s="1">
        <v>76</v>
      </c>
      <c r="B79" t="s">
        <v>79</v>
      </c>
      <c r="C79" t="s">
        <v>239</v>
      </c>
      <c r="D79" t="s">
        <v>307</v>
      </c>
      <c r="E79">
        <v>-121.7547</v>
      </c>
      <c r="F79">
        <v>38.036900000000003</v>
      </c>
    </row>
    <row r="80" spans="1:6" x14ac:dyDescent="0.25">
      <c r="A80" s="1">
        <v>77</v>
      </c>
      <c r="B80" t="s">
        <v>80</v>
      </c>
      <c r="C80" t="s">
        <v>267</v>
      </c>
      <c r="D80" t="s">
        <v>307</v>
      </c>
      <c r="E80">
        <v>-121.7272</v>
      </c>
      <c r="F80">
        <v>38.040199999999999</v>
      </c>
    </row>
    <row r="81" spans="1:6" x14ac:dyDescent="0.25">
      <c r="A81" s="1">
        <v>78</v>
      </c>
      <c r="B81" t="s">
        <v>81</v>
      </c>
      <c r="C81" t="s">
        <v>266</v>
      </c>
      <c r="D81" t="s">
        <v>307</v>
      </c>
      <c r="E81">
        <v>-110.82769999999999</v>
      </c>
      <c r="F81">
        <v>31.789400000000001</v>
      </c>
    </row>
    <row r="82" spans="1:6" x14ac:dyDescent="0.25">
      <c r="A82" s="1">
        <v>79</v>
      </c>
      <c r="B82" t="s">
        <v>82</v>
      </c>
      <c r="C82" t="s">
        <v>268</v>
      </c>
      <c r="D82" t="s">
        <v>307</v>
      </c>
      <c r="E82">
        <v>-110.85080000000001</v>
      </c>
      <c r="F82">
        <v>31.817299999999999</v>
      </c>
    </row>
    <row r="83" spans="1:6" x14ac:dyDescent="0.25">
      <c r="A83" s="1">
        <v>80</v>
      </c>
      <c r="B83" t="s">
        <v>83</v>
      </c>
      <c r="C83" t="s">
        <v>269</v>
      </c>
      <c r="D83" t="s">
        <v>307</v>
      </c>
      <c r="E83">
        <v>-89.347700000000003</v>
      </c>
      <c r="F83">
        <v>46.241999999999997</v>
      </c>
    </row>
    <row r="84" spans="1:6" x14ac:dyDescent="0.25">
      <c r="A84" s="1">
        <v>81</v>
      </c>
      <c r="B84" t="s">
        <v>84</v>
      </c>
      <c r="C84" t="s">
        <v>269</v>
      </c>
      <c r="D84" t="s">
        <v>307</v>
      </c>
      <c r="E84">
        <v>-120.96599999999999</v>
      </c>
      <c r="F84">
        <v>38.430900000000001</v>
      </c>
    </row>
    <row r="85" spans="1:6" x14ac:dyDescent="0.25">
      <c r="A85" s="1">
        <v>82</v>
      </c>
      <c r="B85" t="s">
        <v>85</v>
      </c>
      <c r="C85" t="s">
        <v>270</v>
      </c>
      <c r="D85" t="s">
        <v>307</v>
      </c>
      <c r="E85">
        <v>-121.6469</v>
      </c>
      <c r="F85">
        <v>38.107399999999998</v>
      </c>
    </row>
    <row r="86" spans="1:6" x14ac:dyDescent="0.25">
      <c r="A86" s="1">
        <v>83</v>
      </c>
      <c r="B86" t="s">
        <v>86</v>
      </c>
      <c r="C86" t="s">
        <v>271</v>
      </c>
      <c r="D86" t="s">
        <v>307</v>
      </c>
      <c r="E86">
        <v>-121.6469</v>
      </c>
      <c r="F86">
        <v>38.115200000000002</v>
      </c>
    </row>
    <row r="87" spans="1:6" x14ac:dyDescent="0.25">
      <c r="A87" s="1">
        <v>84</v>
      </c>
      <c r="B87" t="s">
        <v>87</v>
      </c>
      <c r="C87" t="s">
        <v>261</v>
      </c>
      <c r="D87" t="s">
        <v>307</v>
      </c>
      <c r="E87">
        <v>-121.6413</v>
      </c>
      <c r="F87">
        <v>38.102699999999999</v>
      </c>
    </row>
    <row r="88" spans="1:6" x14ac:dyDescent="0.25">
      <c r="A88" s="1">
        <v>85</v>
      </c>
      <c r="B88" t="s">
        <v>88</v>
      </c>
      <c r="C88" t="s">
        <v>233</v>
      </c>
      <c r="D88" t="s">
        <v>307</v>
      </c>
      <c r="E88">
        <v>-121.6426</v>
      </c>
      <c r="F88">
        <v>38.107199999999999</v>
      </c>
    </row>
    <row r="89" spans="1:6" x14ac:dyDescent="0.25">
      <c r="A89" s="1">
        <v>86</v>
      </c>
      <c r="B89" t="s">
        <v>89</v>
      </c>
      <c r="C89" t="s">
        <v>254</v>
      </c>
      <c r="D89" t="s">
        <v>307</v>
      </c>
      <c r="E89">
        <v>-84.713800000000006</v>
      </c>
      <c r="F89">
        <v>45.559800000000003</v>
      </c>
    </row>
    <row r="90" spans="1:6" x14ac:dyDescent="0.25">
      <c r="A90" s="1">
        <v>87</v>
      </c>
      <c r="B90" t="s">
        <v>90</v>
      </c>
      <c r="C90" t="s">
        <v>254</v>
      </c>
      <c r="D90" t="s">
        <v>307</v>
      </c>
      <c r="E90">
        <v>-84.697500000000005</v>
      </c>
      <c r="F90">
        <v>45.5625</v>
      </c>
    </row>
    <row r="91" spans="1:6" x14ac:dyDescent="0.25">
      <c r="A91" s="1">
        <v>88</v>
      </c>
      <c r="B91" t="s">
        <v>91</v>
      </c>
      <c r="C91" t="s">
        <v>272</v>
      </c>
      <c r="D91" t="s">
        <v>307</v>
      </c>
      <c r="E91">
        <v>-120.9508</v>
      </c>
      <c r="F91">
        <v>38.4133</v>
      </c>
    </row>
    <row r="92" spans="1:6" x14ac:dyDescent="0.25">
      <c r="A92" s="1">
        <v>89</v>
      </c>
      <c r="B92" t="s">
        <v>92</v>
      </c>
      <c r="C92" t="s">
        <v>254</v>
      </c>
      <c r="D92" t="s">
        <v>307</v>
      </c>
      <c r="E92">
        <v>-106.5321</v>
      </c>
      <c r="F92">
        <v>35.888399999999997</v>
      </c>
    </row>
    <row r="93" spans="1:6" x14ac:dyDescent="0.25">
      <c r="A93" s="1">
        <v>90</v>
      </c>
      <c r="B93" t="s">
        <v>93</v>
      </c>
      <c r="C93" t="s">
        <v>254</v>
      </c>
      <c r="D93" t="s">
        <v>307</v>
      </c>
      <c r="E93">
        <v>-106.5967</v>
      </c>
      <c r="F93">
        <v>35.864199999999997</v>
      </c>
    </row>
    <row r="94" spans="1:6" x14ac:dyDescent="0.25">
      <c r="A94" s="1">
        <v>91</v>
      </c>
      <c r="B94" t="s">
        <v>94</v>
      </c>
      <c r="C94" t="s">
        <v>232</v>
      </c>
      <c r="D94" t="s">
        <v>307</v>
      </c>
      <c r="E94">
        <v>-110.0522</v>
      </c>
      <c r="F94">
        <v>31.7438</v>
      </c>
    </row>
    <row r="95" spans="1:6" x14ac:dyDescent="0.25">
      <c r="A95" s="1">
        <v>92</v>
      </c>
      <c r="B95" t="s">
        <v>95</v>
      </c>
      <c r="C95" t="s">
        <v>273</v>
      </c>
      <c r="D95" t="s">
        <v>307</v>
      </c>
      <c r="E95">
        <v>-91.081400000000002</v>
      </c>
      <c r="F95">
        <v>46.6188</v>
      </c>
    </row>
    <row r="96" spans="1:6" x14ac:dyDescent="0.25">
      <c r="A96" s="1">
        <v>93</v>
      </c>
      <c r="B96" t="s">
        <v>96</v>
      </c>
      <c r="C96" t="s">
        <v>254</v>
      </c>
      <c r="D96" t="s">
        <v>307</v>
      </c>
      <c r="E96">
        <v>-105.86150000000001</v>
      </c>
      <c r="F96">
        <v>34.4255</v>
      </c>
    </row>
    <row r="97" spans="1:6" x14ac:dyDescent="0.25">
      <c r="A97" s="1">
        <v>94</v>
      </c>
      <c r="B97" t="s">
        <v>97</v>
      </c>
      <c r="C97" t="s">
        <v>236</v>
      </c>
      <c r="D97" t="s">
        <v>307</v>
      </c>
      <c r="E97">
        <v>-109.9419</v>
      </c>
      <c r="F97">
        <v>31.736499999999999</v>
      </c>
    </row>
    <row r="98" spans="1:6" x14ac:dyDescent="0.25">
      <c r="A98" s="1">
        <v>95</v>
      </c>
      <c r="B98" t="s">
        <v>98</v>
      </c>
      <c r="C98" t="s">
        <v>250</v>
      </c>
      <c r="D98" t="s">
        <v>307</v>
      </c>
      <c r="E98">
        <v>-122.33029999999999</v>
      </c>
      <c r="F98">
        <v>45.7624</v>
      </c>
    </row>
    <row r="99" spans="1:6" x14ac:dyDescent="0.25">
      <c r="A99" s="1">
        <v>96</v>
      </c>
      <c r="B99" t="s">
        <v>99</v>
      </c>
      <c r="C99" t="s">
        <v>238</v>
      </c>
      <c r="D99" t="s">
        <v>307</v>
      </c>
      <c r="E99">
        <v>-99.058800000000005</v>
      </c>
      <c r="F99">
        <v>35.410600000000002</v>
      </c>
    </row>
    <row r="100" spans="1:6" x14ac:dyDescent="0.25">
      <c r="A100" s="1">
        <v>97</v>
      </c>
      <c r="B100" t="s">
        <v>100</v>
      </c>
      <c r="C100" t="s">
        <v>250</v>
      </c>
      <c r="D100" t="s">
        <v>307</v>
      </c>
      <c r="E100">
        <v>-156.61940000000001</v>
      </c>
      <c r="F100">
        <v>71.282399999999996</v>
      </c>
    </row>
    <row r="101" spans="1:6" x14ac:dyDescent="0.25">
      <c r="A101" s="1">
        <v>98</v>
      </c>
      <c r="B101" t="s">
        <v>101</v>
      </c>
      <c r="C101" t="s">
        <v>250</v>
      </c>
      <c r="D101" t="s">
        <v>307</v>
      </c>
      <c r="E101">
        <v>-78.071600000000004</v>
      </c>
      <c r="F101">
        <v>39.060299999999998</v>
      </c>
    </row>
    <row r="102" spans="1:6" x14ac:dyDescent="0.25">
      <c r="A102" s="1">
        <v>99</v>
      </c>
      <c r="B102" t="s">
        <v>102</v>
      </c>
      <c r="C102" t="s">
        <v>250</v>
      </c>
      <c r="D102" t="s">
        <v>307</v>
      </c>
      <c r="E102">
        <v>-147.5026</v>
      </c>
      <c r="F102">
        <v>65.153999999999996</v>
      </c>
    </row>
    <row r="103" spans="1:6" x14ac:dyDescent="0.25">
      <c r="A103" s="1">
        <v>100</v>
      </c>
      <c r="B103" t="s">
        <v>103</v>
      </c>
      <c r="C103" t="s">
        <v>238</v>
      </c>
      <c r="D103" t="s">
        <v>307</v>
      </c>
      <c r="E103">
        <v>-71.287300000000002</v>
      </c>
      <c r="F103">
        <v>44.063899999999997</v>
      </c>
    </row>
    <row r="104" spans="1:6" x14ac:dyDescent="0.25">
      <c r="A104" s="1">
        <v>101</v>
      </c>
      <c r="B104" t="s">
        <v>104</v>
      </c>
      <c r="C104" t="s">
        <v>238</v>
      </c>
      <c r="D104" t="s">
        <v>307</v>
      </c>
      <c r="E104">
        <v>-97.57</v>
      </c>
      <c r="F104">
        <v>33.401200000000003</v>
      </c>
    </row>
    <row r="105" spans="1:6" x14ac:dyDescent="0.25">
      <c r="A105" s="1">
        <v>102</v>
      </c>
      <c r="B105" t="s">
        <v>105</v>
      </c>
      <c r="C105" t="s">
        <v>237</v>
      </c>
      <c r="D105" t="s">
        <v>307</v>
      </c>
      <c r="E105">
        <v>-104.7456</v>
      </c>
      <c r="F105">
        <v>40.8155</v>
      </c>
    </row>
    <row r="106" spans="1:6" x14ac:dyDescent="0.25">
      <c r="A106" s="1">
        <v>103</v>
      </c>
      <c r="B106" t="s">
        <v>106</v>
      </c>
      <c r="C106" t="s">
        <v>238</v>
      </c>
      <c r="D106" t="s">
        <v>307</v>
      </c>
      <c r="E106">
        <v>-99.1066</v>
      </c>
      <c r="F106">
        <v>47.161700000000003</v>
      </c>
    </row>
    <row r="107" spans="1:6" x14ac:dyDescent="0.25">
      <c r="A107" s="1">
        <v>104</v>
      </c>
      <c r="B107" t="s">
        <v>107</v>
      </c>
      <c r="C107" t="s">
        <v>250</v>
      </c>
      <c r="D107" t="s">
        <v>307</v>
      </c>
      <c r="E107">
        <v>-145.75139999999999</v>
      </c>
      <c r="F107">
        <v>63.881100000000004</v>
      </c>
    </row>
    <row r="108" spans="1:6" x14ac:dyDescent="0.25">
      <c r="A108" s="1">
        <v>105</v>
      </c>
      <c r="B108" t="s">
        <v>108</v>
      </c>
      <c r="C108" t="s">
        <v>238</v>
      </c>
      <c r="D108" t="s">
        <v>307</v>
      </c>
      <c r="E108">
        <v>-87.803899999999999</v>
      </c>
      <c r="F108">
        <v>32.541699999999999</v>
      </c>
    </row>
    <row r="109" spans="1:6" x14ac:dyDescent="0.25">
      <c r="A109" s="1">
        <v>106</v>
      </c>
      <c r="B109" t="s">
        <v>109</v>
      </c>
      <c r="C109" t="s">
        <v>238</v>
      </c>
      <c r="D109" t="s">
        <v>307</v>
      </c>
      <c r="E109">
        <v>-81.436199999999999</v>
      </c>
      <c r="F109">
        <v>28.125</v>
      </c>
    </row>
    <row r="110" spans="1:6" x14ac:dyDescent="0.25">
      <c r="A110" s="1">
        <v>107</v>
      </c>
      <c r="B110" t="s">
        <v>110</v>
      </c>
      <c r="C110" t="s">
        <v>238</v>
      </c>
      <c r="D110" t="s">
        <v>307</v>
      </c>
      <c r="E110">
        <v>-83.501900000000006</v>
      </c>
      <c r="F110">
        <v>35.689</v>
      </c>
    </row>
    <row r="111" spans="1:6" x14ac:dyDescent="0.25">
      <c r="A111" s="1">
        <v>108</v>
      </c>
      <c r="B111" t="s">
        <v>111</v>
      </c>
      <c r="C111" t="s">
        <v>238</v>
      </c>
      <c r="D111" t="s">
        <v>307</v>
      </c>
      <c r="E111">
        <v>-72.172700000000006</v>
      </c>
      <c r="F111">
        <v>42.536900000000003</v>
      </c>
    </row>
    <row r="112" spans="1:6" x14ac:dyDescent="0.25">
      <c r="A112" s="1">
        <v>109</v>
      </c>
      <c r="B112" t="s">
        <v>112</v>
      </c>
      <c r="C112" t="s">
        <v>238</v>
      </c>
      <c r="D112" t="s">
        <v>307</v>
      </c>
      <c r="E112">
        <v>-149.2133</v>
      </c>
      <c r="F112">
        <v>63.875700000000002</v>
      </c>
    </row>
    <row r="113" spans="1:6" x14ac:dyDescent="0.25">
      <c r="A113" s="1">
        <v>110</v>
      </c>
      <c r="B113" t="s">
        <v>113</v>
      </c>
      <c r="C113" t="s">
        <v>238</v>
      </c>
      <c r="D113" t="s">
        <v>307</v>
      </c>
      <c r="E113">
        <v>-84.468599999999995</v>
      </c>
      <c r="F113">
        <v>31.194800000000001</v>
      </c>
    </row>
    <row r="114" spans="1:6" x14ac:dyDescent="0.25">
      <c r="A114" s="1">
        <v>111</v>
      </c>
      <c r="B114" t="s">
        <v>114</v>
      </c>
      <c r="C114" t="s">
        <v>250</v>
      </c>
      <c r="D114" t="s">
        <v>307</v>
      </c>
      <c r="E114">
        <v>-106.8425</v>
      </c>
      <c r="F114">
        <v>32.590699999999998</v>
      </c>
    </row>
    <row r="115" spans="1:6" x14ac:dyDescent="0.25">
      <c r="A115" s="1">
        <v>112</v>
      </c>
      <c r="B115" t="s">
        <v>115</v>
      </c>
      <c r="C115" t="s">
        <v>238</v>
      </c>
      <c r="D115" t="s">
        <v>307</v>
      </c>
      <c r="E115">
        <v>-96.612899999999996</v>
      </c>
      <c r="F115">
        <v>39.110399999999998</v>
      </c>
    </row>
    <row r="116" spans="1:6" x14ac:dyDescent="0.25">
      <c r="A116" s="1">
        <v>113</v>
      </c>
      <c r="B116" t="s">
        <v>116</v>
      </c>
      <c r="C116" t="s">
        <v>238</v>
      </c>
      <c r="D116" t="s">
        <v>307</v>
      </c>
      <c r="E116">
        <v>-96.563100000000006</v>
      </c>
      <c r="F116">
        <v>39.1008</v>
      </c>
    </row>
    <row r="117" spans="1:6" x14ac:dyDescent="0.25">
      <c r="A117" s="1">
        <v>114</v>
      </c>
      <c r="B117" t="s">
        <v>117</v>
      </c>
      <c r="C117" t="s">
        <v>238</v>
      </c>
      <c r="D117" t="s">
        <v>307</v>
      </c>
      <c r="E117">
        <v>-109.3883</v>
      </c>
      <c r="F117">
        <v>38.2483</v>
      </c>
    </row>
    <row r="118" spans="1:6" x14ac:dyDescent="0.25">
      <c r="A118" s="1">
        <v>115</v>
      </c>
      <c r="B118" t="s">
        <v>118</v>
      </c>
      <c r="C118" t="s">
        <v>238</v>
      </c>
      <c r="D118" t="s">
        <v>307</v>
      </c>
      <c r="E118">
        <v>-80.524799999999999</v>
      </c>
      <c r="F118">
        <v>37.378300000000003</v>
      </c>
    </row>
    <row r="119" spans="1:6" x14ac:dyDescent="0.25">
      <c r="A119" s="1">
        <v>116</v>
      </c>
      <c r="B119" t="s">
        <v>119</v>
      </c>
      <c r="C119" t="s">
        <v>238</v>
      </c>
      <c r="D119" t="s">
        <v>307</v>
      </c>
      <c r="E119">
        <v>-100.91540000000001</v>
      </c>
      <c r="F119">
        <v>46.7697</v>
      </c>
    </row>
    <row r="120" spans="1:6" x14ac:dyDescent="0.25">
      <c r="A120" s="1">
        <v>117</v>
      </c>
      <c r="B120" t="s">
        <v>120</v>
      </c>
      <c r="C120" t="s">
        <v>238</v>
      </c>
      <c r="D120" t="s">
        <v>307</v>
      </c>
      <c r="E120">
        <v>-112.4524</v>
      </c>
      <c r="F120">
        <v>40.177599999999998</v>
      </c>
    </row>
    <row r="121" spans="1:6" x14ac:dyDescent="0.25">
      <c r="A121" s="1">
        <v>118</v>
      </c>
      <c r="B121" t="s">
        <v>121</v>
      </c>
      <c r="C121" t="s">
        <v>238</v>
      </c>
      <c r="D121" t="s">
        <v>307</v>
      </c>
      <c r="E121">
        <v>-105.5459</v>
      </c>
      <c r="F121">
        <v>40.2759</v>
      </c>
    </row>
    <row r="122" spans="1:6" x14ac:dyDescent="0.25">
      <c r="A122" s="1">
        <v>119</v>
      </c>
      <c r="B122" t="s">
        <v>122</v>
      </c>
      <c r="C122" t="s">
        <v>238</v>
      </c>
      <c r="D122" t="s">
        <v>307</v>
      </c>
      <c r="E122">
        <v>-81.993399999999994</v>
      </c>
      <c r="F122">
        <v>29.689299999999999</v>
      </c>
    </row>
    <row r="123" spans="1:6" x14ac:dyDescent="0.25">
      <c r="A123" s="1">
        <v>120</v>
      </c>
      <c r="B123" t="s">
        <v>123</v>
      </c>
      <c r="C123" t="s">
        <v>250</v>
      </c>
      <c r="D123" t="s">
        <v>307</v>
      </c>
      <c r="E123">
        <v>-78.139499999999998</v>
      </c>
      <c r="F123">
        <v>38.892899999999997</v>
      </c>
    </row>
    <row r="124" spans="1:6" x14ac:dyDescent="0.25">
      <c r="A124" s="1">
        <v>121</v>
      </c>
      <c r="B124" t="s">
        <v>124</v>
      </c>
      <c r="C124" t="s">
        <v>238</v>
      </c>
      <c r="D124" t="s">
        <v>307</v>
      </c>
      <c r="E124">
        <v>-76.56</v>
      </c>
      <c r="F124">
        <v>38.890099999999997</v>
      </c>
    </row>
    <row r="125" spans="1:6" x14ac:dyDescent="0.25">
      <c r="A125" s="1">
        <v>122</v>
      </c>
      <c r="B125" t="s">
        <v>125</v>
      </c>
      <c r="C125" t="s">
        <v>250</v>
      </c>
      <c r="D125" t="s">
        <v>307</v>
      </c>
      <c r="E125">
        <v>-119.7323</v>
      </c>
      <c r="F125">
        <v>37.108800000000002</v>
      </c>
    </row>
    <row r="126" spans="1:6" x14ac:dyDescent="0.25">
      <c r="A126" s="1">
        <v>123</v>
      </c>
      <c r="B126" t="s">
        <v>126</v>
      </c>
      <c r="C126" t="s">
        <v>250</v>
      </c>
      <c r="D126" t="s">
        <v>307</v>
      </c>
      <c r="E126">
        <v>-103.02930000000001</v>
      </c>
      <c r="F126">
        <v>40.4619</v>
      </c>
    </row>
    <row r="127" spans="1:6" x14ac:dyDescent="0.25">
      <c r="A127" s="1">
        <v>124</v>
      </c>
      <c r="B127" t="s">
        <v>127</v>
      </c>
      <c r="C127" t="s">
        <v>238</v>
      </c>
      <c r="D127" t="s">
        <v>307</v>
      </c>
      <c r="E127">
        <v>-110.8355</v>
      </c>
      <c r="F127">
        <v>31.910699999999999</v>
      </c>
    </row>
    <row r="128" spans="1:6" x14ac:dyDescent="0.25">
      <c r="A128" s="1">
        <v>125</v>
      </c>
      <c r="B128" t="s">
        <v>128</v>
      </c>
      <c r="C128" t="s">
        <v>238</v>
      </c>
      <c r="D128" t="s">
        <v>307</v>
      </c>
      <c r="E128">
        <v>-89.586399999999998</v>
      </c>
      <c r="F128">
        <v>45.508899999999997</v>
      </c>
    </row>
    <row r="129" spans="1:6" x14ac:dyDescent="0.25">
      <c r="A129" s="1">
        <v>126</v>
      </c>
      <c r="B129" t="s">
        <v>129</v>
      </c>
      <c r="C129" t="s">
        <v>238</v>
      </c>
      <c r="D129" t="s">
        <v>307</v>
      </c>
      <c r="E129">
        <v>-87.393299999999996</v>
      </c>
      <c r="F129">
        <v>32.950499999999998</v>
      </c>
    </row>
    <row r="130" spans="1:6" x14ac:dyDescent="0.25">
      <c r="A130" s="1">
        <v>127</v>
      </c>
      <c r="B130" t="s">
        <v>130</v>
      </c>
      <c r="C130" t="s">
        <v>238</v>
      </c>
      <c r="D130" t="s">
        <v>307</v>
      </c>
      <c r="E130">
        <v>-89.585700000000003</v>
      </c>
      <c r="F130">
        <v>45.493699999999997</v>
      </c>
    </row>
    <row r="131" spans="1:6" x14ac:dyDescent="0.25">
      <c r="A131" s="1">
        <v>128</v>
      </c>
      <c r="B131" t="s">
        <v>131</v>
      </c>
      <c r="C131" t="s">
        <v>238</v>
      </c>
      <c r="D131" t="s">
        <v>307</v>
      </c>
      <c r="E131">
        <v>-95.192099999999996</v>
      </c>
      <c r="F131">
        <v>39.040399999999998</v>
      </c>
    </row>
    <row r="132" spans="1:6" x14ac:dyDescent="0.25">
      <c r="A132" s="1">
        <v>129</v>
      </c>
      <c r="B132" t="s">
        <v>132</v>
      </c>
      <c r="C132" t="s">
        <v>238</v>
      </c>
      <c r="D132" t="s">
        <v>307</v>
      </c>
      <c r="E132">
        <v>-89.537300000000002</v>
      </c>
      <c r="F132">
        <v>46.233899999999998</v>
      </c>
    </row>
    <row r="133" spans="1:6" x14ac:dyDescent="0.25">
      <c r="A133" s="1">
        <v>130</v>
      </c>
      <c r="B133" t="s">
        <v>133</v>
      </c>
      <c r="C133" t="s">
        <v>250</v>
      </c>
      <c r="D133" t="s">
        <v>307</v>
      </c>
      <c r="E133">
        <v>-99.241399999999999</v>
      </c>
      <c r="F133">
        <v>47.1282</v>
      </c>
    </row>
    <row r="134" spans="1:6" x14ac:dyDescent="0.25">
      <c r="A134" s="1">
        <v>131</v>
      </c>
      <c r="B134" t="s">
        <v>134</v>
      </c>
      <c r="C134" t="s">
        <v>241</v>
      </c>
      <c r="D134" t="s">
        <v>307</v>
      </c>
      <c r="E134">
        <v>-110.5391</v>
      </c>
      <c r="F134">
        <v>44.953499999999998</v>
      </c>
    </row>
    <row r="135" spans="1:6" x14ac:dyDescent="0.25">
      <c r="A135" s="1">
        <v>132</v>
      </c>
      <c r="B135" t="s">
        <v>135</v>
      </c>
      <c r="C135" t="s">
        <v>274</v>
      </c>
      <c r="D135" t="s">
        <v>308</v>
      </c>
      <c r="E135">
        <v>131.11779999999999</v>
      </c>
      <c r="F135">
        <v>-13.0769</v>
      </c>
    </row>
    <row r="136" spans="1:6" x14ac:dyDescent="0.25">
      <c r="A136" s="1">
        <v>133</v>
      </c>
      <c r="B136" t="s">
        <v>136</v>
      </c>
      <c r="C136" t="s">
        <v>275</v>
      </c>
      <c r="D136" t="s">
        <v>308</v>
      </c>
      <c r="E136">
        <v>133.24930000000001</v>
      </c>
      <c r="F136">
        <v>-22.282800000000002</v>
      </c>
    </row>
    <row r="137" spans="1:6" x14ac:dyDescent="0.25">
      <c r="A137" s="1">
        <v>134</v>
      </c>
      <c r="B137" t="s">
        <v>137</v>
      </c>
      <c r="C137" t="s">
        <v>276</v>
      </c>
      <c r="D137" t="s">
        <v>308</v>
      </c>
      <c r="E137">
        <v>116.93859999999999</v>
      </c>
      <c r="F137">
        <v>-32.4771</v>
      </c>
    </row>
    <row r="138" spans="1:6" x14ac:dyDescent="0.25">
      <c r="A138" s="1">
        <v>135</v>
      </c>
      <c r="B138" t="s">
        <v>138</v>
      </c>
      <c r="C138" t="s">
        <v>277</v>
      </c>
      <c r="D138" t="s">
        <v>308</v>
      </c>
      <c r="E138">
        <v>140.58770000000001</v>
      </c>
      <c r="F138">
        <v>-34.002699999999997</v>
      </c>
    </row>
    <row r="139" spans="1:6" x14ac:dyDescent="0.25">
      <c r="A139" s="1">
        <v>136</v>
      </c>
      <c r="B139" t="s">
        <v>139</v>
      </c>
      <c r="C139" t="s">
        <v>278</v>
      </c>
      <c r="D139" t="s">
        <v>308</v>
      </c>
      <c r="E139">
        <v>150.7236</v>
      </c>
      <c r="F139">
        <v>-33.615200000000002</v>
      </c>
    </row>
    <row r="140" spans="1:6" x14ac:dyDescent="0.25">
      <c r="A140" s="1">
        <v>137</v>
      </c>
      <c r="B140" t="s">
        <v>140</v>
      </c>
      <c r="C140" t="s">
        <v>279</v>
      </c>
      <c r="D140" t="s">
        <v>308</v>
      </c>
      <c r="E140">
        <v>131.38810000000001</v>
      </c>
      <c r="F140">
        <v>-14.1592</v>
      </c>
    </row>
    <row r="141" spans="1:6" x14ac:dyDescent="0.25">
      <c r="A141" s="1">
        <v>138</v>
      </c>
      <c r="B141" t="s">
        <v>141</v>
      </c>
      <c r="C141" t="s">
        <v>275</v>
      </c>
      <c r="D141" t="s">
        <v>308</v>
      </c>
      <c r="E141">
        <v>132.3706</v>
      </c>
      <c r="F141">
        <v>-15.258800000000001</v>
      </c>
    </row>
    <row r="142" spans="1:6" x14ac:dyDescent="0.25">
      <c r="A142" s="1">
        <v>139</v>
      </c>
      <c r="B142" t="s">
        <v>142</v>
      </c>
      <c r="C142" t="s">
        <v>280</v>
      </c>
      <c r="D142" t="s">
        <v>308</v>
      </c>
      <c r="E142">
        <v>120.6541</v>
      </c>
      <c r="F142">
        <v>-30.191299999999998</v>
      </c>
    </row>
    <row r="143" spans="1:6" x14ac:dyDescent="0.25">
      <c r="A143" s="1">
        <v>140</v>
      </c>
      <c r="B143" t="s">
        <v>143</v>
      </c>
      <c r="C143" t="s">
        <v>281</v>
      </c>
      <c r="D143" t="s">
        <v>308</v>
      </c>
      <c r="E143">
        <v>130.7945</v>
      </c>
      <c r="F143">
        <v>-13.179</v>
      </c>
    </row>
    <row r="144" spans="1:6" x14ac:dyDescent="0.25">
      <c r="A144" s="1">
        <v>141</v>
      </c>
      <c r="B144" t="s">
        <v>144</v>
      </c>
      <c r="C144" t="s">
        <v>282</v>
      </c>
      <c r="D144" t="s">
        <v>308</v>
      </c>
      <c r="E144">
        <v>130.7945</v>
      </c>
      <c r="F144">
        <v>-13.179</v>
      </c>
    </row>
    <row r="145" spans="1:7" x14ac:dyDescent="0.25">
      <c r="A145" s="1">
        <v>142</v>
      </c>
      <c r="B145" t="s">
        <v>145</v>
      </c>
      <c r="C145" t="s">
        <v>281</v>
      </c>
      <c r="D145" t="s">
        <v>308</v>
      </c>
      <c r="E145">
        <v>116.96680000000001</v>
      </c>
      <c r="F145">
        <v>-32.506100000000004</v>
      </c>
    </row>
    <row r="146" spans="1:7" x14ac:dyDescent="0.25">
      <c r="A146" s="1">
        <v>143</v>
      </c>
      <c r="B146" t="s">
        <v>146</v>
      </c>
      <c r="C146" t="s">
        <v>283</v>
      </c>
      <c r="D146" t="s">
        <v>308</v>
      </c>
      <c r="E146">
        <v>133.3502</v>
      </c>
      <c r="F146">
        <v>-17.150700000000001</v>
      </c>
    </row>
    <row r="147" spans="1:7" x14ac:dyDescent="0.25">
      <c r="A147" s="1">
        <v>144</v>
      </c>
      <c r="B147" t="s">
        <v>147</v>
      </c>
      <c r="C147" t="s">
        <v>261</v>
      </c>
      <c r="D147" t="s">
        <v>308</v>
      </c>
      <c r="E147">
        <v>146.65450000000001</v>
      </c>
      <c r="F147">
        <v>-43.094999999999999</v>
      </c>
    </row>
    <row r="148" spans="1:7" x14ac:dyDescent="0.25">
      <c r="A148" s="1">
        <v>145</v>
      </c>
      <c r="B148" t="s">
        <v>148</v>
      </c>
      <c r="C148" t="s">
        <v>240</v>
      </c>
      <c r="D148" t="s">
        <v>308</v>
      </c>
      <c r="E148">
        <v>145.02940000000001</v>
      </c>
      <c r="F148">
        <v>-36.673200000000001</v>
      </c>
    </row>
    <row r="149" spans="1:7" x14ac:dyDescent="0.25">
      <c r="A149" s="1">
        <v>146</v>
      </c>
      <c r="B149" t="s">
        <v>149</v>
      </c>
      <c r="C149" t="s">
        <v>242</v>
      </c>
      <c r="D149" t="s">
        <v>308</v>
      </c>
      <c r="E149">
        <v>144.09440000000001</v>
      </c>
      <c r="F149">
        <v>-37.422199999999997</v>
      </c>
    </row>
    <row r="150" spans="1:7" x14ac:dyDescent="0.25">
      <c r="A150" s="1">
        <v>147</v>
      </c>
      <c r="B150" t="s">
        <v>150</v>
      </c>
      <c r="C150" t="s">
        <v>284</v>
      </c>
      <c r="D150" t="s">
        <v>309</v>
      </c>
      <c r="E150">
        <v>4.5200979999999999</v>
      </c>
      <c r="F150">
        <v>51.307009999999998</v>
      </c>
      <c r="G150" t="s">
        <v>311</v>
      </c>
    </row>
    <row r="151" spans="1:7" x14ac:dyDescent="0.25">
      <c r="A151" s="1">
        <v>148</v>
      </c>
      <c r="B151" t="s">
        <v>151</v>
      </c>
      <c r="C151" t="s">
        <v>285</v>
      </c>
      <c r="D151" t="s">
        <v>309</v>
      </c>
      <c r="E151">
        <v>4.7462020000000003</v>
      </c>
      <c r="F151">
        <v>50.551338000000001</v>
      </c>
    </row>
    <row r="152" spans="1:7" x14ac:dyDescent="0.25">
      <c r="A152" s="1">
        <v>149</v>
      </c>
      <c r="B152" t="s">
        <v>152</v>
      </c>
      <c r="C152" t="s">
        <v>284</v>
      </c>
      <c r="D152" t="s">
        <v>309</v>
      </c>
      <c r="E152">
        <v>5.99871</v>
      </c>
      <c r="F152">
        <v>50.306918000000003</v>
      </c>
      <c r="G152" t="s">
        <v>311</v>
      </c>
    </row>
    <row r="153" spans="1:7" x14ac:dyDescent="0.25">
      <c r="A153" s="1">
        <v>150</v>
      </c>
      <c r="B153" t="s">
        <v>153</v>
      </c>
      <c r="C153" t="s">
        <v>286</v>
      </c>
      <c r="D153" t="s">
        <v>309</v>
      </c>
      <c r="E153">
        <v>9.7904169999999997</v>
      </c>
      <c r="F153">
        <v>46.583306</v>
      </c>
      <c r="G153" t="s">
        <v>311</v>
      </c>
    </row>
    <row r="154" spans="1:7" x14ac:dyDescent="0.25">
      <c r="A154" s="1">
        <v>151</v>
      </c>
      <c r="B154" t="s">
        <v>154</v>
      </c>
      <c r="C154" t="s">
        <v>287</v>
      </c>
      <c r="D154" t="s">
        <v>309</v>
      </c>
      <c r="E154">
        <v>8.4104399999999995</v>
      </c>
      <c r="F154">
        <v>47.21022</v>
      </c>
      <c r="G154" t="s">
        <v>311</v>
      </c>
    </row>
    <row r="155" spans="1:7" x14ac:dyDescent="0.25">
      <c r="A155" s="1">
        <v>152</v>
      </c>
      <c r="B155" t="s">
        <v>155</v>
      </c>
      <c r="C155" t="s">
        <v>288</v>
      </c>
      <c r="D155" t="s">
        <v>309</v>
      </c>
      <c r="E155">
        <v>9.8559099999999997</v>
      </c>
      <c r="F155">
        <v>46.815330000000003</v>
      </c>
      <c r="G155" t="s">
        <v>311</v>
      </c>
    </row>
    <row r="156" spans="1:7" x14ac:dyDescent="0.25">
      <c r="A156" s="1">
        <v>153</v>
      </c>
      <c r="B156" t="s">
        <v>156</v>
      </c>
      <c r="C156" t="s">
        <v>287</v>
      </c>
      <c r="D156" t="s">
        <v>309</v>
      </c>
      <c r="E156">
        <v>8.5377799999999997</v>
      </c>
      <c r="F156">
        <v>47.115830000000003</v>
      </c>
      <c r="G156" t="s">
        <v>311</v>
      </c>
    </row>
    <row r="157" spans="1:7" x14ac:dyDescent="0.25">
      <c r="A157" s="1">
        <v>154</v>
      </c>
      <c r="B157" t="s">
        <v>157</v>
      </c>
      <c r="C157" t="s">
        <v>285</v>
      </c>
      <c r="D157" t="s">
        <v>309</v>
      </c>
      <c r="E157">
        <v>8.3650000000000002</v>
      </c>
      <c r="F157">
        <v>47.478079999999999</v>
      </c>
      <c r="G157" t="s">
        <v>311</v>
      </c>
    </row>
    <row r="158" spans="1:7" x14ac:dyDescent="0.25">
      <c r="A158" s="1">
        <v>155</v>
      </c>
      <c r="B158" t="s">
        <v>158</v>
      </c>
      <c r="C158" t="s">
        <v>285</v>
      </c>
      <c r="D158" t="s">
        <v>309</v>
      </c>
      <c r="E158">
        <v>7.7343299999999999</v>
      </c>
      <c r="F158">
        <v>47.28631</v>
      </c>
      <c r="G158" t="s">
        <v>311</v>
      </c>
    </row>
    <row r="159" spans="1:7" x14ac:dyDescent="0.25">
      <c r="A159" s="1">
        <v>156</v>
      </c>
      <c r="B159" t="s">
        <v>159</v>
      </c>
      <c r="C159" t="s">
        <v>285</v>
      </c>
      <c r="D159" t="s">
        <v>309</v>
      </c>
      <c r="E159">
        <v>18.536881999999999</v>
      </c>
      <c r="F159">
        <v>49.502074999999998</v>
      </c>
      <c r="G159" t="s">
        <v>311</v>
      </c>
    </row>
    <row r="160" spans="1:7" x14ac:dyDescent="0.25">
      <c r="A160" s="1">
        <v>157</v>
      </c>
      <c r="B160" t="s">
        <v>160</v>
      </c>
      <c r="C160" t="s">
        <v>251</v>
      </c>
      <c r="D160" t="s">
        <v>309</v>
      </c>
      <c r="E160">
        <v>16.946331000000001</v>
      </c>
      <c r="F160">
        <v>48.681550000000001</v>
      </c>
      <c r="G160" t="s">
        <v>311</v>
      </c>
    </row>
    <row r="161" spans="1:7" x14ac:dyDescent="0.25">
      <c r="A161" s="1">
        <v>158</v>
      </c>
      <c r="B161" t="s">
        <v>161</v>
      </c>
      <c r="C161" t="s">
        <v>289</v>
      </c>
      <c r="D161" t="s">
        <v>309</v>
      </c>
      <c r="E161">
        <v>16.696512500000001</v>
      </c>
      <c r="F161">
        <v>49.443723599999998</v>
      </c>
      <c r="G161" t="s">
        <v>311</v>
      </c>
    </row>
    <row r="162" spans="1:7" x14ac:dyDescent="0.25">
      <c r="A162" s="1">
        <v>159</v>
      </c>
      <c r="B162" t="s">
        <v>162</v>
      </c>
      <c r="C162" t="s">
        <v>286</v>
      </c>
      <c r="D162" t="s">
        <v>309</v>
      </c>
      <c r="E162">
        <v>17.969899999999999</v>
      </c>
      <c r="F162">
        <v>49.035975000000001</v>
      </c>
      <c r="G162" t="s">
        <v>311</v>
      </c>
    </row>
    <row r="163" spans="1:7" x14ac:dyDescent="0.25">
      <c r="A163" s="1">
        <v>160</v>
      </c>
      <c r="B163" t="s">
        <v>163</v>
      </c>
      <c r="C163" t="s">
        <v>290</v>
      </c>
      <c r="D163" t="s">
        <v>309</v>
      </c>
      <c r="E163">
        <v>14.770350000000001</v>
      </c>
      <c r="F163">
        <v>49.024650000000001</v>
      </c>
      <c r="G163" t="s">
        <v>311</v>
      </c>
    </row>
    <row r="164" spans="1:7" x14ac:dyDescent="0.25">
      <c r="A164" s="1">
        <v>161</v>
      </c>
      <c r="B164" t="s">
        <v>164</v>
      </c>
      <c r="C164" t="s">
        <v>291</v>
      </c>
      <c r="D164" t="s">
        <v>309</v>
      </c>
      <c r="E164">
        <v>13.68342</v>
      </c>
      <c r="F164">
        <v>53.866169999999997</v>
      </c>
      <c r="G164" t="s">
        <v>311</v>
      </c>
    </row>
    <row r="165" spans="1:7" x14ac:dyDescent="0.25">
      <c r="A165" s="1">
        <v>162</v>
      </c>
      <c r="B165" t="s">
        <v>165</v>
      </c>
      <c r="C165" t="s">
        <v>292</v>
      </c>
      <c r="D165" t="s">
        <v>309</v>
      </c>
      <c r="E165">
        <v>10.914529999999999</v>
      </c>
      <c r="F165">
        <v>51.099850000000004</v>
      </c>
      <c r="G165" t="s">
        <v>311</v>
      </c>
    </row>
    <row r="166" spans="1:7" x14ac:dyDescent="0.25">
      <c r="A166" s="1">
        <v>163</v>
      </c>
      <c r="B166" t="s">
        <v>166</v>
      </c>
      <c r="C166" t="s">
        <v>285</v>
      </c>
      <c r="D166" t="s">
        <v>309</v>
      </c>
      <c r="E166">
        <v>13.512589999999999</v>
      </c>
      <c r="F166">
        <v>50.950040000000001</v>
      </c>
      <c r="G166" t="s">
        <v>311</v>
      </c>
    </row>
    <row r="167" spans="1:7" x14ac:dyDescent="0.25">
      <c r="A167" s="1">
        <v>164</v>
      </c>
      <c r="B167" t="s">
        <v>167</v>
      </c>
      <c r="C167" t="s">
        <v>293</v>
      </c>
      <c r="D167" t="s">
        <v>309</v>
      </c>
      <c r="E167">
        <v>10.452089000000001</v>
      </c>
      <c r="F167">
        <v>51.079407000000003</v>
      </c>
      <c r="G167" t="s">
        <v>311</v>
      </c>
    </row>
    <row r="168" spans="1:7" x14ac:dyDescent="0.25">
      <c r="A168" s="1">
        <v>165</v>
      </c>
      <c r="B168" t="s">
        <v>168</v>
      </c>
      <c r="C168" t="s">
        <v>251</v>
      </c>
      <c r="D168" t="s">
        <v>309</v>
      </c>
      <c r="E168">
        <v>11.221911</v>
      </c>
      <c r="F168">
        <v>52.086370000000002</v>
      </c>
      <c r="G168" t="s">
        <v>311</v>
      </c>
    </row>
    <row r="169" spans="1:7" x14ac:dyDescent="0.25">
      <c r="A169" s="1">
        <v>166</v>
      </c>
      <c r="B169" t="s">
        <v>169</v>
      </c>
      <c r="C169" t="s">
        <v>291</v>
      </c>
      <c r="D169" t="s">
        <v>309</v>
      </c>
      <c r="E169" s="3">
        <v>12.176111000000001</v>
      </c>
      <c r="F169" s="3">
        <v>54.210278000000002</v>
      </c>
    </row>
    <row r="170" spans="1:7" x14ac:dyDescent="0.25">
      <c r="A170" s="1">
        <v>167</v>
      </c>
      <c r="B170" t="s">
        <v>170</v>
      </c>
      <c r="C170" t="s">
        <v>286</v>
      </c>
      <c r="D170" t="s">
        <v>309</v>
      </c>
      <c r="E170">
        <v>13.48978</v>
      </c>
      <c r="F170">
        <v>50.963810000000002</v>
      </c>
      <c r="G170" t="s">
        <v>311</v>
      </c>
    </row>
    <row r="171" spans="1:7" x14ac:dyDescent="0.25">
      <c r="A171" s="1">
        <v>168</v>
      </c>
      <c r="B171" t="s">
        <v>171</v>
      </c>
      <c r="C171" t="s">
        <v>285</v>
      </c>
      <c r="D171" t="s">
        <v>309</v>
      </c>
      <c r="E171">
        <v>13.52238</v>
      </c>
      <c r="F171">
        <v>50.893059999999998</v>
      </c>
      <c r="G171" t="s">
        <v>311</v>
      </c>
    </row>
    <row r="172" spans="1:7" x14ac:dyDescent="0.25">
      <c r="A172" s="1">
        <v>169</v>
      </c>
      <c r="B172" t="s">
        <v>172</v>
      </c>
      <c r="C172" t="s">
        <v>294</v>
      </c>
      <c r="D172" t="s">
        <v>309</v>
      </c>
      <c r="E172">
        <v>13.72129</v>
      </c>
      <c r="F172">
        <v>50.786659999999998</v>
      </c>
      <c r="G172" t="s">
        <v>311</v>
      </c>
    </row>
    <row r="173" spans="1:7" x14ac:dyDescent="0.25">
      <c r="A173" s="1">
        <v>170</v>
      </c>
      <c r="B173" t="s">
        <v>173</v>
      </c>
      <c r="C173" t="s">
        <v>268</v>
      </c>
      <c r="D173" t="s">
        <v>309</v>
      </c>
      <c r="E173">
        <v>6.3041260000000001</v>
      </c>
      <c r="F173">
        <v>50.621913999999997</v>
      </c>
      <c r="G173" t="s">
        <v>311</v>
      </c>
    </row>
    <row r="174" spans="1:7" x14ac:dyDescent="0.25">
      <c r="A174" s="1">
        <v>171</v>
      </c>
      <c r="B174" t="s">
        <v>174</v>
      </c>
      <c r="C174" t="s">
        <v>268</v>
      </c>
      <c r="D174" t="s">
        <v>309</v>
      </c>
      <c r="E174">
        <v>6.447076</v>
      </c>
      <c r="F174">
        <v>50.866033000000002</v>
      </c>
      <c r="G174" t="s">
        <v>311</v>
      </c>
    </row>
    <row r="175" spans="1:7" x14ac:dyDescent="0.25">
      <c r="A175" s="1">
        <v>172</v>
      </c>
      <c r="B175" t="s">
        <v>175</v>
      </c>
      <c r="C175" t="s">
        <v>286</v>
      </c>
      <c r="D175" t="s">
        <v>309</v>
      </c>
      <c r="E175">
        <v>6.3309626999999997</v>
      </c>
      <c r="F175">
        <v>50.504930000000002</v>
      </c>
      <c r="G175" t="s">
        <v>311</v>
      </c>
    </row>
    <row r="176" spans="1:7" x14ac:dyDescent="0.25">
      <c r="A176" s="1">
        <v>173</v>
      </c>
      <c r="B176" t="s">
        <v>176</v>
      </c>
      <c r="C176" t="s">
        <v>284</v>
      </c>
      <c r="D176" t="s">
        <v>309</v>
      </c>
      <c r="E176">
        <v>13.565149999999999</v>
      </c>
      <c r="F176">
        <v>50.962560000000003</v>
      </c>
      <c r="G176" t="s">
        <v>311</v>
      </c>
    </row>
    <row r="177" spans="1:7" x14ac:dyDescent="0.25">
      <c r="A177" s="1">
        <v>174</v>
      </c>
      <c r="B177" t="s">
        <v>177</v>
      </c>
      <c r="C177" t="s">
        <v>284</v>
      </c>
      <c r="D177" t="s">
        <v>309</v>
      </c>
      <c r="E177">
        <v>11.645206999999999</v>
      </c>
      <c r="F177">
        <v>55.486286</v>
      </c>
      <c r="G177" t="s">
        <v>311</v>
      </c>
    </row>
    <row r="178" spans="1:7" x14ac:dyDescent="0.25">
      <c r="A178" s="1">
        <v>175</v>
      </c>
      <c r="B178" t="s">
        <v>178</v>
      </c>
      <c r="C178" t="s">
        <v>251</v>
      </c>
      <c r="D178" t="s">
        <v>309</v>
      </c>
      <c r="E178">
        <v>-6.7858809999999998</v>
      </c>
      <c r="F178">
        <v>38.701839</v>
      </c>
      <c r="G178" t="s">
        <v>311</v>
      </c>
    </row>
    <row r="179" spans="1:7" x14ac:dyDescent="0.25">
      <c r="A179" s="1">
        <v>176</v>
      </c>
      <c r="B179" t="s">
        <v>179</v>
      </c>
      <c r="C179" t="s">
        <v>295</v>
      </c>
      <c r="D179" t="s">
        <v>309</v>
      </c>
      <c r="E179">
        <v>-5.778683</v>
      </c>
      <c r="F179">
        <v>39.942689999999999</v>
      </c>
      <c r="G179" t="s">
        <v>311</v>
      </c>
    </row>
    <row r="180" spans="1:7" x14ac:dyDescent="0.25">
      <c r="A180" s="1">
        <v>177</v>
      </c>
      <c r="B180" t="s">
        <v>180</v>
      </c>
      <c r="C180" t="s">
        <v>295</v>
      </c>
      <c r="D180" t="s">
        <v>309</v>
      </c>
      <c r="E180">
        <v>-5.775881</v>
      </c>
      <c r="F180">
        <v>39.934592000000002</v>
      </c>
      <c r="G180" t="s">
        <v>311</v>
      </c>
    </row>
    <row r="181" spans="1:7" x14ac:dyDescent="0.25">
      <c r="A181" s="1">
        <v>178</v>
      </c>
      <c r="B181" t="s">
        <v>181</v>
      </c>
      <c r="C181" t="s">
        <v>284</v>
      </c>
      <c r="D181" t="s">
        <v>309</v>
      </c>
      <c r="E181">
        <v>24.293970999999999</v>
      </c>
      <c r="F181">
        <v>61.847718999999998</v>
      </c>
      <c r="G181" t="s">
        <v>311</v>
      </c>
    </row>
    <row r="182" spans="1:7" x14ac:dyDescent="0.25">
      <c r="A182" s="1">
        <v>179</v>
      </c>
      <c r="B182" t="s">
        <v>182</v>
      </c>
      <c r="C182" t="s">
        <v>291</v>
      </c>
      <c r="D182" t="s">
        <v>309</v>
      </c>
      <c r="E182">
        <v>23.959520000000001</v>
      </c>
      <c r="F182">
        <v>60.641829999999999</v>
      </c>
      <c r="G182" t="s">
        <v>311</v>
      </c>
    </row>
    <row r="183" spans="1:7" x14ac:dyDescent="0.25">
      <c r="A183" s="1">
        <v>180</v>
      </c>
      <c r="B183" t="s">
        <v>183</v>
      </c>
      <c r="C183" t="s">
        <v>227</v>
      </c>
      <c r="D183" t="s">
        <v>309</v>
      </c>
      <c r="E183">
        <v>24.192274999999999</v>
      </c>
      <c r="F183">
        <v>61.833143</v>
      </c>
      <c r="G183" t="s">
        <v>311</v>
      </c>
    </row>
    <row r="184" spans="1:7" x14ac:dyDescent="0.25">
      <c r="A184" s="1">
        <v>181</v>
      </c>
      <c r="B184" t="s">
        <v>184</v>
      </c>
      <c r="C184" t="s">
        <v>227</v>
      </c>
      <c r="D184" t="s">
        <v>309</v>
      </c>
      <c r="E184">
        <v>29.61</v>
      </c>
      <c r="F184">
        <v>67.754900000000006</v>
      </c>
      <c r="G184" t="s">
        <v>311</v>
      </c>
    </row>
    <row r="185" spans="1:7" x14ac:dyDescent="0.25">
      <c r="A185" s="1">
        <v>182</v>
      </c>
      <c r="B185" t="s">
        <v>185</v>
      </c>
      <c r="C185" t="s">
        <v>295</v>
      </c>
      <c r="D185" t="s">
        <v>309</v>
      </c>
      <c r="E185">
        <v>-0.95609200000000005</v>
      </c>
      <c r="F185">
        <v>44.493651999999997</v>
      </c>
      <c r="G185" t="s">
        <v>311</v>
      </c>
    </row>
    <row r="186" spans="1:7" x14ac:dyDescent="0.25">
      <c r="A186" s="1">
        <v>183</v>
      </c>
      <c r="B186" t="s">
        <v>186</v>
      </c>
      <c r="C186" t="s">
        <v>252</v>
      </c>
      <c r="D186" t="s">
        <v>309</v>
      </c>
      <c r="E186" s="3">
        <v>3.0206499999999998</v>
      </c>
      <c r="F186" s="3">
        <v>49.872109999999999</v>
      </c>
    </row>
    <row r="187" spans="1:7" x14ac:dyDescent="0.25">
      <c r="A187" s="1">
        <v>184</v>
      </c>
      <c r="B187" t="s">
        <v>187</v>
      </c>
      <c r="C187" t="s">
        <v>295</v>
      </c>
      <c r="D187" t="s">
        <v>309</v>
      </c>
      <c r="E187">
        <v>7.0641540000000003</v>
      </c>
      <c r="F187">
        <v>48.674320000000002</v>
      </c>
      <c r="G187" t="s">
        <v>311</v>
      </c>
    </row>
    <row r="188" spans="1:7" x14ac:dyDescent="0.25">
      <c r="A188" s="1">
        <v>185</v>
      </c>
      <c r="B188" t="s">
        <v>188</v>
      </c>
      <c r="C188" t="s">
        <v>285</v>
      </c>
      <c r="D188" t="s">
        <v>309</v>
      </c>
      <c r="E188" s="3">
        <v>14.957169</v>
      </c>
      <c r="F188" s="3">
        <v>40.523614000000002</v>
      </c>
      <c r="G188" t="s">
        <v>311</v>
      </c>
    </row>
    <row r="189" spans="1:7" x14ac:dyDescent="0.25">
      <c r="A189" s="1">
        <v>186</v>
      </c>
      <c r="B189" t="s">
        <v>189</v>
      </c>
      <c r="C189" t="s">
        <v>289</v>
      </c>
      <c r="D189" t="s">
        <v>309</v>
      </c>
      <c r="E189">
        <v>12.356870000000001</v>
      </c>
      <c r="F189">
        <v>41.704300000000003</v>
      </c>
      <c r="G189" t="s">
        <v>311</v>
      </c>
    </row>
    <row r="190" spans="1:7" x14ac:dyDescent="0.25">
      <c r="A190" s="1">
        <v>187</v>
      </c>
      <c r="B190" t="s">
        <v>190</v>
      </c>
      <c r="C190" t="s">
        <v>227</v>
      </c>
      <c r="D190" t="s">
        <v>309</v>
      </c>
      <c r="E190">
        <v>12.750297</v>
      </c>
      <c r="F190">
        <v>45.740482</v>
      </c>
      <c r="G190" t="s">
        <v>311</v>
      </c>
    </row>
    <row r="191" spans="1:7" x14ac:dyDescent="0.25">
      <c r="A191" s="1">
        <v>188</v>
      </c>
      <c r="B191" t="s">
        <v>191</v>
      </c>
      <c r="C191" t="s">
        <v>271</v>
      </c>
      <c r="D191" t="s">
        <v>309</v>
      </c>
      <c r="E191">
        <v>10.291491000000001</v>
      </c>
      <c r="F191">
        <v>43.731912999999999</v>
      </c>
      <c r="G191" t="s">
        <v>311</v>
      </c>
    </row>
    <row r="192" spans="1:7" x14ac:dyDescent="0.25">
      <c r="A192" s="1">
        <v>189</v>
      </c>
      <c r="B192" t="s">
        <v>192</v>
      </c>
      <c r="C192" t="s">
        <v>294</v>
      </c>
      <c r="D192" t="s">
        <v>309</v>
      </c>
      <c r="E192">
        <v>7.578055</v>
      </c>
      <c r="F192">
        <v>45.844439999999999</v>
      </c>
      <c r="G192" t="s">
        <v>311</v>
      </c>
    </row>
    <row r="193" spans="1:7" x14ac:dyDescent="0.25">
      <c r="A193" s="1">
        <v>190</v>
      </c>
      <c r="B193" t="s">
        <v>193</v>
      </c>
      <c r="C193" t="s">
        <v>284</v>
      </c>
      <c r="D193" t="s">
        <v>309</v>
      </c>
      <c r="E193" s="3">
        <v>5.7435499999999999</v>
      </c>
      <c r="F193" s="3">
        <v>52.166446999999998</v>
      </c>
    </row>
    <row r="194" spans="1:7" x14ac:dyDescent="0.25">
      <c r="A194" s="1">
        <v>191</v>
      </c>
      <c r="B194" t="s">
        <v>194</v>
      </c>
      <c r="C194" t="s">
        <v>251</v>
      </c>
      <c r="D194" t="s">
        <v>309</v>
      </c>
      <c r="E194" s="3">
        <v>32.901878000000004</v>
      </c>
      <c r="F194" s="3">
        <v>56.447603000000001</v>
      </c>
      <c r="G194" t="s">
        <v>311</v>
      </c>
    </row>
    <row r="195" spans="1:7" x14ac:dyDescent="0.25">
      <c r="A195" s="1">
        <v>192</v>
      </c>
      <c r="B195" t="s">
        <v>195</v>
      </c>
      <c r="C195" t="s">
        <v>296</v>
      </c>
      <c r="D195" t="s">
        <v>309</v>
      </c>
      <c r="E195" s="3">
        <v>32.922083299999997</v>
      </c>
      <c r="F195" s="3">
        <v>56.461527799999999</v>
      </c>
      <c r="G195" t="s">
        <v>311</v>
      </c>
    </row>
    <row r="196" spans="1:7" x14ac:dyDescent="0.25">
      <c r="A196" s="1">
        <v>193</v>
      </c>
      <c r="B196" t="s">
        <v>196</v>
      </c>
      <c r="C196" t="s">
        <v>292</v>
      </c>
      <c r="D196" t="s">
        <v>309</v>
      </c>
      <c r="E196" s="3">
        <v>19.557448000000001</v>
      </c>
      <c r="F196" s="3">
        <v>64.182333</v>
      </c>
      <c r="G196" t="s">
        <v>311</v>
      </c>
    </row>
    <row r="197" spans="1:7" x14ac:dyDescent="0.25">
      <c r="A197" s="1">
        <v>194</v>
      </c>
      <c r="B197" t="s">
        <v>197</v>
      </c>
      <c r="C197" t="s">
        <v>251</v>
      </c>
      <c r="D197" t="s">
        <v>309</v>
      </c>
      <c r="E197" s="3">
        <v>13.417892999999999</v>
      </c>
      <c r="F197" s="3">
        <v>56.097566</v>
      </c>
      <c r="G197" t="s">
        <v>311</v>
      </c>
    </row>
    <row r="198" spans="1:7" x14ac:dyDescent="0.25">
      <c r="A198" s="1">
        <v>195</v>
      </c>
      <c r="B198" t="s">
        <v>198</v>
      </c>
      <c r="C198" t="s">
        <v>295</v>
      </c>
      <c r="D198" t="s">
        <v>309</v>
      </c>
      <c r="E198" s="3">
        <v>13.10177</v>
      </c>
      <c r="F198" s="3">
        <v>58.340629999999997</v>
      </c>
    </row>
    <row r="199" spans="1:7" x14ac:dyDescent="0.25">
      <c r="A199" s="1">
        <v>196</v>
      </c>
      <c r="B199" t="s">
        <v>199</v>
      </c>
      <c r="C199" t="s">
        <v>295</v>
      </c>
      <c r="D199" t="s">
        <v>309</v>
      </c>
      <c r="E199" s="3">
        <v>17.47852</v>
      </c>
      <c r="F199" s="3">
        <v>60.08699</v>
      </c>
      <c r="G199" t="s">
        <v>311</v>
      </c>
    </row>
    <row r="200" spans="1:7" x14ac:dyDescent="0.25">
      <c r="A200" s="1">
        <v>197</v>
      </c>
      <c r="B200" t="s">
        <v>200</v>
      </c>
      <c r="C200" t="s">
        <v>295</v>
      </c>
      <c r="D200" t="s">
        <v>309</v>
      </c>
      <c r="E200" s="3">
        <v>19.738</v>
      </c>
      <c r="F200" s="3">
        <v>64.172499999999999</v>
      </c>
      <c r="G200" t="s">
        <v>311</v>
      </c>
    </row>
    <row r="201" spans="1:7" x14ac:dyDescent="0.25">
      <c r="A201" s="1">
        <v>198</v>
      </c>
      <c r="B201" t="s">
        <v>201</v>
      </c>
      <c r="C201" t="s">
        <v>295</v>
      </c>
      <c r="D201" t="s">
        <v>309</v>
      </c>
      <c r="E201" s="3">
        <v>19.776502000000001</v>
      </c>
      <c r="F201" s="3">
        <v>64.256304999999998</v>
      </c>
      <c r="G201" t="s">
        <v>311</v>
      </c>
    </row>
    <row r="202" spans="1:7" x14ac:dyDescent="0.25">
      <c r="A202" s="1">
        <v>199</v>
      </c>
      <c r="B202" t="s">
        <v>150</v>
      </c>
      <c r="C202" t="s">
        <v>297</v>
      </c>
      <c r="D202" t="s">
        <v>310</v>
      </c>
      <c r="E202">
        <v>4.5200979999999999</v>
      </c>
      <c r="F202">
        <v>51.307009999999998</v>
      </c>
    </row>
    <row r="203" spans="1:7" x14ac:dyDescent="0.25">
      <c r="A203" s="1">
        <v>200</v>
      </c>
      <c r="B203" t="s">
        <v>202</v>
      </c>
      <c r="C203" t="s">
        <v>270</v>
      </c>
      <c r="D203" t="s">
        <v>310</v>
      </c>
      <c r="E203">
        <v>4.9681129999999998</v>
      </c>
      <c r="F203">
        <v>50.311874000000003</v>
      </c>
    </row>
    <row r="204" spans="1:7" x14ac:dyDescent="0.25">
      <c r="A204" s="1">
        <v>201</v>
      </c>
      <c r="B204" t="s">
        <v>203</v>
      </c>
      <c r="C204" t="s">
        <v>229</v>
      </c>
      <c r="D204" t="s">
        <v>310</v>
      </c>
      <c r="E204">
        <v>3.8504299999999998</v>
      </c>
      <c r="F204">
        <v>51.112180000000002</v>
      </c>
    </row>
    <row r="205" spans="1:7" x14ac:dyDescent="0.25">
      <c r="A205" s="1">
        <v>202</v>
      </c>
      <c r="B205" t="s">
        <v>151</v>
      </c>
      <c r="C205" t="s">
        <v>298</v>
      </c>
      <c r="D205" t="s">
        <v>310</v>
      </c>
      <c r="E205">
        <v>4.7462020000000003</v>
      </c>
      <c r="F205">
        <v>50.551338000000001</v>
      </c>
    </row>
    <row r="206" spans="1:7" x14ac:dyDescent="0.25">
      <c r="A206" s="1">
        <v>203</v>
      </c>
      <c r="B206" t="s">
        <v>204</v>
      </c>
      <c r="C206" t="s">
        <v>239</v>
      </c>
      <c r="D206" t="s">
        <v>310</v>
      </c>
      <c r="E206">
        <v>5.6308350000000003</v>
      </c>
      <c r="F206">
        <v>50.980054000000003</v>
      </c>
    </row>
    <row r="207" spans="1:7" x14ac:dyDescent="0.25">
      <c r="A207" s="1">
        <v>204</v>
      </c>
      <c r="B207" t="s">
        <v>152</v>
      </c>
      <c r="C207" t="s">
        <v>297</v>
      </c>
      <c r="D207" t="s">
        <v>310</v>
      </c>
      <c r="E207">
        <v>5.99871</v>
      </c>
      <c r="F207">
        <v>50.306918000000003</v>
      </c>
    </row>
    <row r="208" spans="1:7" x14ac:dyDescent="0.25">
      <c r="A208" s="1">
        <v>205</v>
      </c>
      <c r="B208" t="s">
        <v>153</v>
      </c>
      <c r="C208" t="s">
        <v>299</v>
      </c>
      <c r="D208" t="s">
        <v>310</v>
      </c>
      <c r="E208">
        <v>9.7904169999999997</v>
      </c>
      <c r="F208">
        <v>46.583306</v>
      </c>
    </row>
    <row r="209" spans="1:6" x14ac:dyDescent="0.25">
      <c r="A209" s="1">
        <v>206</v>
      </c>
      <c r="B209" t="s">
        <v>154</v>
      </c>
      <c r="C209" t="s">
        <v>247</v>
      </c>
      <c r="D209" t="s">
        <v>310</v>
      </c>
      <c r="E209">
        <v>8.4104399999999995</v>
      </c>
      <c r="F209">
        <v>47.21022</v>
      </c>
    </row>
    <row r="210" spans="1:6" x14ac:dyDescent="0.25">
      <c r="A210" s="1">
        <v>207</v>
      </c>
      <c r="B210" t="s">
        <v>155</v>
      </c>
      <c r="C210" t="s">
        <v>300</v>
      </c>
      <c r="D210" t="s">
        <v>310</v>
      </c>
      <c r="E210">
        <v>9.8559099999999997</v>
      </c>
      <c r="F210">
        <v>46.815330000000003</v>
      </c>
    </row>
    <row r="211" spans="1:6" x14ac:dyDescent="0.25">
      <c r="A211" s="1">
        <v>208</v>
      </c>
      <c r="B211" t="s">
        <v>156</v>
      </c>
      <c r="C211" t="s">
        <v>247</v>
      </c>
      <c r="D211" t="s">
        <v>310</v>
      </c>
      <c r="E211">
        <v>8.5377799999999997</v>
      </c>
      <c r="F211">
        <v>47.115830000000003</v>
      </c>
    </row>
    <row r="212" spans="1:6" x14ac:dyDescent="0.25">
      <c r="A212" s="1">
        <v>209</v>
      </c>
      <c r="B212" t="s">
        <v>157</v>
      </c>
      <c r="C212" t="s">
        <v>298</v>
      </c>
      <c r="D212" t="s">
        <v>310</v>
      </c>
      <c r="E212">
        <v>8.3650000000000002</v>
      </c>
      <c r="F212">
        <v>47.478079999999999</v>
      </c>
    </row>
    <row r="213" spans="1:6" x14ac:dyDescent="0.25">
      <c r="A213" s="1">
        <v>210</v>
      </c>
      <c r="B213" t="s">
        <v>158</v>
      </c>
      <c r="C213" t="s">
        <v>298</v>
      </c>
      <c r="D213" t="s">
        <v>310</v>
      </c>
      <c r="E213">
        <v>7.7343299999999999</v>
      </c>
      <c r="F213">
        <v>47.28631</v>
      </c>
    </row>
    <row r="214" spans="1:6" x14ac:dyDescent="0.25">
      <c r="A214" s="1">
        <v>211</v>
      </c>
      <c r="B214" t="s">
        <v>159</v>
      </c>
      <c r="C214" t="s">
        <v>298</v>
      </c>
      <c r="D214" t="s">
        <v>310</v>
      </c>
      <c r="E214">
        <v>18.536881999999999</v>
      </c>
      <c r="F214">
        <v>49.502074999999998</v>
      </c>
    </row>
    <row r="215" spans="1:6" x14ac:dyDescent="0.25">
      <c r="A215" s="1">
        <v>212</v>
      </c>
      <c r="B215" t="s">
        <v>205</v>
      </c>
      <c r="C215" t="s">
        <v>230</v>
      </c>
      <c r="D215" t="s">
        <v>310</v>
      </c>
      <c r="E215">
        <v>15.078773</v>
      </c>
      <c r="F215">
        <v>49.573256999999998</v>
      </c>
    </row>
    <row r="216" spans="1:6" x14ac:dyDescent="0.25">
      <c r="A216" s="1">
        <v>213</v>
      </c>
      <c r="B216" t="s">
        <v>160</v>
      </c>
      <c r="C216" t="s">
        <v>231</v>
      </c>
      <c r="D216" t="s">
        <v>310</v>
      </c>
      <c r="E216">
        <v>16.946331000000001</v>
      </c>
      <c r="F216">
        <v>48.681550000000001</v>
      </c>
    </row>
    <row r="217" spans="1:6" x14ac:dyDescent="0.25">
      <c r="A217" s="1">
        <v>214</v>
      </c>
      <c r="B217" t="s">
        <v>161</v>
      </c>
      <c r="C217" t="s">
        <v>301</v>
      </c>
      <c r="D217" t="s">
        <v>310</v>
      </c>
      <c r="E217">
        <v>16.696512500000001</v>
      </c>
      <c r="F217">
        <v>49.443723599999998</v>
      </c>
    </row>
    <row r="218" spans="1:6" x14ac:dyDescent="0.25">
      <c r="A218" s="1">
        <v>215</v>
      </c>
      <c r="B218" t="s">
        <v>162</v>
      </c>
      <c r="C218" t="s">
        <v>255</v>
      </c>
      <c r="D218" t="s">
        <v>310</v>
      </c>
      <c r="E218">
        <v>17.969899999999999</v>
      </c>
      <c r="F218">
        <v>49.035975000000001</v>
      </c>
    </row>
    <row r="219" spans="1:6" x14ac:dyDescent="0.25">
      <c r="A219" s="1">
        <v>216</v>
      </c>
      <c r="B219" t="s">
        <v>163</v>
      </c>
      <c r="C219" t="s">
        <v>299</v>
      </c>
      <c r="D219" t="s">
        <v>310</v>
      </c>
      <c r="E219">
        <v>14.770350000000001</v>
      </c>
      <c r="F219">
        <v>49.024650000000001</v>
      </c>
    </row>
    <row r="220" spans="1:6" x14ac:dyDescent="0.25">
      <c r="A220" s="1">
        <v>217</v>
      </c>
      <c r="B220" t="s">
        <v>164</v>
      </c>
      <c r="C220" t="s">
        <v>302</v>
      </c>
      <c r="D220" t="s">
        <v>310</v>
      </c>
      <c r="E220">
        <v>13.68342</v>
      </c>
      <c r="F220">
        <v>53.866169999999997</v>
      </c>
    </row>
    <row r="221" spans="1:6" x14ac:dyDescent="0.25">
      <c r="A221" s="1">
        <v>218</v>
      </c>
      <c r="B221" t="s">
        <v>165</v>
      </c>
      <c r="C221" t="s">
        <v>263</v>
      </c>
      <c r="D221" t="s">
        <v>310</v>
      </c>
      <c r="E221">
        <v>10.914529999999999</v>
      </c>
      <c r="F221">
        <v>51.099850000000004</v>
      </c>
    </row>
    <row r="222" spans="1:6" x14ac:dyDescent="0.25">
      <c r="A222" s="1">
        <v>219</v>
      </c>
      <c r="B222" t="s">
        <v>166</v>
      </c>
      <c r="C222" t="s">
        <v>298</v>
      </c>
      <c r="D222" t="s">
        <v>310</v>
      </c>
      <c r="E222">
        <v>13.512589999999999</v>
      </c>
      <c r="F222">
        <v>50.950040000000001</v>
      </c>
    </row>
    <row r="223" spans="1:6" x14ac:dyDescent="0.25">
      <c r="A223" s="1">
        <v>220</v>
      </c>
      <c r="B223" t="s">
        <v>167</v>
      </c>
      <c r="C223" t="s">
        <v>303</v>
      </c>
      <c r="D223" t="s">
        <v>310</v>
      </c>
      <c r="E223">
        <v>10.452089000000001</v>
      </c>
      <c r="F223">
        <v>51.079407000000003</v>
      </c>
    </row>
    <row r="224" spans="1:6" x14ac:dyDescent="0.25">
      <c r="A224" s="1">
        <v>221</v>
      </c>
      <c r="B224" t="s">
        <v>168</v>
      </c>
      <c r="C224" t="s">
        <v>231</v>
      </c>
      <c r="D224" t="s">
        <v>310</v>
      </c>
      <c r="E224">
        <v>11.221911</v>
      </c>
      <c r="F224">
        <v>52.086370000000002</v>
      </c>
    </row>
    <row r="225" spans="1:6" x14ac:dyDescent="0.25">
      <c r="A225" s="1">
        <v>222</v>
      </c>
      <c r="B225" t="s">
        <v>170</v>
      </c>
      <c r="C225" t="s">
        <v>255</v>
      </c>
      <c r="D225" t="s">
        <v>310</v>
      </c>
      <c r="E225">
        <v>13.48978</v>
      </c>
      <c r="F225">
        <v>50.963810000000002</v>
      </c>
    </row>
    <row r="226" spans="1:6" x14ac:dyDescent="0.25">
      <c r="A226" s="1">
        <v>223</v>
      </c>
      <c r="B226" t="s">
        <v>171</v>
      </c>
      <c r="C226" t="s">
        <v>298</v>
      </c>
      <c r="D226" t="s">
        <v>310</v>
      </c>
      <c r="E226">
        <v>13.52238</v>
      </c>
      <c r="F226">
        <v>50.893059999999998</v>
      </c>
    </row>
    <row r="227" spans="1:6" x14ac:dyDescent="0.25">
      <c r="A227" s="1">
        <v>224</v>
      </c>
      <c r="B227" t="s">
        <v>172</v>
      </c>
      <c r="C227" t="s">
        <v>246</v>
      </c>
      <c r="D227" t="s">
        <v>310</v>
      </c>
      <c r="E227">
        <v>13.72129</v>
      </c>
      <c r="F227">
        <v>50.786659999999998</v>
      </c>
    </row>
    <row r="228" spans="1:6" x14ac:dyDescent="0.25">
      <c r="A228" s="1">
        <v>225</v>
      </c>
      <c r="B228" t="s">
        <v>173</v>
      </c>
      <c r="C228" t="s">
        <v>270</v>
      </c>
      <c r="D228" t="s">
        <v>310</v>
      </c>
      <c r="E228">
        <v>6.3041260000000001</v>
      </c>
      <c r="F228">
        <v>50.621913999999997</v>
      </c>
    </row>
    <row r="229" spans="1:6" x14ac:dyDescent="0.25">
      <c r="A229" s="1">
        <v>226</v>
      </c>
      <c r="B229" t="s">
        <v>174</v>
      </c>
      <c r="C229" t="s">
        <v>270</v>
      </c>
      <c r="D229" t="s">
        <v>310</v>
      </c>
      <c r="E229">
        <v>6.447076</v>
      </c>
      <c r="F229">
        <v>50.866033000000002</v>
      </c>
    </row>
    <row r="230" spans="1:6" x14ac:dyDescent="0.25">
      <c r="A230" s="1">
        <v>227</v>
      </c>
      <c r="B230" t="s">
        <v>175</v>
      </c>
      <c r="C230" t="s">
        <v>301</v>
      </c>
      <c r="D230" t="s">
        <v>310</v>
      </c>
      <c r="E230">
        <v>6.3309626999999997</v>
      </c>
      <c r="F230">
        <v>50.504930000000002</v>
      </c>
    </row>
    <row r="231" spans="1:6" x14ac:dyDescent="0.25">
      <c r="A231" s="1">
        <v>228</v>
      </c>
      <c r="B231" t="s">
        <v>176</v>
      </c>
      <c r="C231" t="s">
        <v>297</v>
      </c>
      <c r="D231" t="s">
        <v>310</v>
      </c>
      <c r="E231">
        <v>13.565149999999999</v>
      </c>
      <c r="F231">
        <v>50.962560000000003</v>
      </c>
    </row>
    <row r="232" spans="1:6" x14ac:dyDescent="0.25">
      <c r="A232" s="1">
        <v>229</v>
      </c>
      <c r="B232" t="s">
        <v>206</v>
      </c>
      <c r="C232" t="s">
        <v>304</v>
      </c>
      <c r="D232" t="s">
        <v>310</v>
      </c>
      <c r="E232">
        <v>9.3340999999999994</v>
      </c>
      <c r="F232">
        <v>56.073700000000002</v>
      </c>
    </row>
    <row r="233" spans="1:6" x14ac:dyDescent="0.25">
      <c r="A233" s="1">
        <v>230</v>
      </c>
      <c r="B233" t="s">
        <v>177</v>
      </c>
      <c r="C233" t="s">
        <v>297</v>
      </c>
      <c r="D233" t="s">
        <v>310</v>
      </c>
      <c r="E233">
        <v>11.645206999999999</v>
      </c>
      <c r="F233">
        <v>55.486286</v>
      </c>
    </row>
    <row r="234" spans="1:6" x14ac:dyDescent="0.25">
      <c r="A234" s="1">
        <v>231</v>
      </c>
      <c r="B234" t="s">
        <v>178</v>
      </c>
      <c r="C234" t="s">
        <v>231</v>
      </c>
      <c r="D234" t="s">
        <v>310</v>
      </c>
      <c r="E234">
        <v>-6.7858809999999998</v>
      </c>
      <c r="F234">
        <v>38.701839</v>
      </c>
    </row>
    <row r="235" spans="1:6" x14ac:dyDescent="0.25">
      <c r="A235" s="1">
        <v>232</v>
      </c>
      <c r="B235" t="s">
        <v>207</v>
      </c>
      <c r="C235" t="s">
        <v>299</v>
      </c>
      <c r="D235" t="s">
        <v>310</v>
      </c>
      <c r="E235">
        <v>-2.0332080000000001</v>
      </c>
      <c r="F235">
        <v>36.940046000000002</v>
      </c>
    </row>
    <row r="236" spans="1:6" x14ac:dyDescent="0.25">
      <c r="A236" s="1">
        <v>233</v>
      </c>
      <c r="B236" t="s">
        <v>208</v>
      </c>
      <c r="C236" t="s">
        <v>230</v>
      </c>
      <c r="D236" t="s">
        <v>310</v>
      </c>
      <c r="E236">
        <v>-3.2276590000000001</v>
      </c>
      <c r="F236">
        <v>37.914997999999997</v>
      </c>
    </row>
    <row r="237" spans="1:6" x14ac:dyDescent="0.25">
      <c r="A237" s="1">
        <v>234</v>
      </c>
      <c r="B237" t="s">
        <v>209</v>
      </c>
      <c r="C237" t="s">
        <v>298</v>
      </c>
      <c r="D237" t="s">
        <v>310</v>
      </c>
      <c r="E237">
        <v>-2.7521149999999999</v>
      </c>
      <c r="F237">
        <v>36.926594000000001</v>
      </c>
    </row>
    <row r="238" spans="1:6" x14ac:dyDescent="0.25">
      <c r="A238" s="1">
        <v>235</v>
      </c>
      <c r="B238" t="s">
        <v>179</v>
      </c>
      <c r="C238" t="s">
        <v>230</v>
      </c>
      <c r="D238" t="s">
        <v>310</v>
      </c>
      <c r="E238">
        <v>-5.778683</v>
      </c>
      <c r="F238">
        <v>39.942689999999999</v>
      </c>
    </row>
    <row r="239" spans="1:6" x14ac:dyDescent="0.25">
      <c r="A239" s="1">
        <v>236</v>
      </c>
      <c r="B239" t="s">
        <v>180</v>
      </c>
      <c r="C239" t="s">
        <v>230</v>
      </c>
      <c r="D239" t="s">
        <v>310</v>
      </c>
      <c r="E239">
        <v>-5.775881</v>
      </c>
      <c r="F239">
        <v>39.934592000000002</v>
      </c>
    </row>
    <row r="240" spans="1:6" x14ac:dyDescent="0.25">
      <c r="A240" s="1">
        <v>237</v>
      </c>
      <c r="B240" t="s">
        <v>181</v>
      </c>
      <c r="C240" t="s">
        <v>297</v>
      </c>
      <c r="D240" t="s">
        <v>310</v>
      </c>
      <c r="E240">
        <v>24.293970999999999</v>
      </c>
      <c r="F240">
        <v>61.847718999999998</v>
      </c>
    </row>
    <row r="241" spans="1:6" x14ac:dyDescent="0.25">
      <c r="A241" s="1">
        <v>238</v>
      </c>
      <c r="B241" t="s">
        <v>210</v>
      </c>
      <c r="C241" t="s">
        <v>267</v>
      </c>
      <c r="D241" t="s">
        <v>310</v>
      </c>
      <c r="E241">
        <v>24.243010000000002</v>
      </c>
      <c r="F241">
        <v>67.987210000000005</v>
      </c>
    </row>
    <row r="242" spans="1:6" x14ac:dyDescent="0.25">
      <c r="A242" s="1">
        <v>239</v>
      </c>
      <c r="B242" t="s">
        <v>182</v>
      </c>
      <c r="C242" t="s">
        <v>302</v>
      </c>
      <c r="D242" t="s">
        <v>310</v>
      </c>
      <c r="E242">
        <v>23.959520000000001</v>
      </c>
      <c r="F242">
        <v>60.641829999999999</v>
      </c>
    </row>
    <row r="243" spans="1:6" x14ac:dyDescent="0.25">
      <c r="A243" s="1">
        <v>240</v>
      </c>
      <c r="B243" t="s">
        <v>211</v>
      </c>
      <c r="C243" t="s">
        <v>267</v>
      </c>
      <c r="D243" t="s">
        <v>310</v>
      </c>
      <c r="E243">
        <v>22.391607</v>
      </c>
      <c r="F243">
        <v>60.295242000000002</v>
      </c>
    </row>
    <row r="244" spans="1:6" x14ac:dyDescent="0.25">
      <c r="A244" s="1">
        <v>241</v>
      </c>
      <c r="B244" t="s">
        <v>183</v>
      </c>
      <c r="C244" t="s">
        <v>239</v>
      </c>
      <c r="D244" t="s">
        <v>310</v>
      </c>
      <c r="E244">
        <v>24.192274999999999</v>
      </c>
      <c r="F244">
        <v>61.833143</v>
      </c>
    </row>
    <row r="245" spans="1:6" x14ac:dyDescent="0.25">
      <c r="A245" s="1">
        <v>242</v>
      </c>
      <c r="B245" t="s">
        <v>184</v>
      </c>
      <c r="C245" t="s">
        <v>239</v>
      </c>
      <c r="D245" t="s">
        <v>310</v>
      </c>
      <c r="E245">
        <v>29.61</v>
      </c>
      <c r="F245">
        <v>67.754900000000006</v>
      </c>
    </row>
    <row r="246" spans="1:6" x14ac:dyDescent="0.25">
      <c r="A246" s="1">
        <v>243</v>
      </c>
      <c r="B246" t="s">
        <v>212</v>
      </c>
      <c r="C246" t="s">
        <v>247</v>
      </c>
      <c r="D246" t="s">
        <v>310</v>
      </c>
      <c r="E246">
        <v>1.1061030000000001</v>
      </c>
      <c r="F246">
        <v>43.54965</v>
      </c>
    </row>
    <row r="247" spans="1:6" x14ac:dyDescent="0.25">
      <c r="A247" s="1">
        <v>244</v>
      </c>
      <c r="B247" t="s">
        <v>185</v>
      </c>
      <c r="C247" t="s">
        <v>230</v>
      </c>
      <c r="D247" t="s">
        <v>310</v>
      </c>
      <c r="E247">
        <v>-0.95609200000000005</v>
      </c>
      <c r="F247">
        <v>44.493651999999997</v>
      </c>
    </row>
    <row r="248" spans="1:6" x14ac:dyDescent="0.25">
      <c r="A248" s="1">
        <v>245</v>
      </c>
      <c r="B248" t="s">
        <v>213</v>
      </c>
      <c r="C248" t="s">
        <v>246</v>
      </c>
      <c r="D248" t="s">
        <v>310</v>
      </c>
      <c r="E248">
        <v>5.6786500000000002</v>
      </c>
      <c r="F248">
        <v>43.240789999999997</v>
      </c>
    </row>
    <row r="249" spans="1:6" x14ac:dyDescent="0.25">
      <c r="A249" s="1">
        <v>246</v>
      </c>
      <c r="B249" t="s">
        <v>214</v>
      </c>
      <c r="C249" t="s">
        <v>247</v>
      </c>
      <c r="D249" t="s">
        <v>310</v>
      </c>
      <c r="E249">
        <v>2.7805580000000001</v>
      </c>
      <c r="F249">
        <v>48.476224999999999</v>
      </c>
    </row>
    <row r="250" spans="1:6" x14ac:dyDescent="0.25">
      <c r="A250" s="1">
        <v>247</v>
      </c>
      <c r="B250" t="s">
        <v>215</v>
      </c>
      <c r="C250" t="s">
        <v>298</v>
      </c>
      <c r="D250" t="s">
        <v>310</v>
      </c>
      <c r="E250">
        <v>1.9519299999999999</v>
      </c>
      <c r="F250">
        <v>48.844149999999999</v>
      </c>
    </row>
    <row r="251" spans="1:6" x14ac:dyDescent="0.25">
      <c r="A251" s="1">
        <v>248</v>
      </c>
      <c r="B251" t="s">
        <v>187</v>
      </c>
      <c r="C251" t="s">
        <v>230</v>
      </c>
      <c r="D251" t="s">
        <v>310</v>
      </c>
      <c r="E251">
        <v>7.0641540000000003</v>
      </c>
      <c r="F251">
        <v>48.674320000000002</v>
      </c>
    </row>
    <row r="252" spans="1:6" x14ac:dyDescent="0.25">
      <c r="A252" s="1">
        <v>249</v>
      </c>
      <c r="B252" t="s">
        <v>216</v>
      </c>
      <c r="C252" t="s">
        <v>247</v>
      </c>
      <c r="D252" t="s">
        <v>310</v>
      </c>
      <c r="E252">
        <v>2.2841019999999999</v>
      </c>
      <c r="F252">
        <v>47.322918000000001</v>
      </c>
    </row>
    <row r="253" spans="1:6" x14ac:dyDescent="0.25">
      <c r="A253" s="1">
        <v>250</v>
      </c>
      <c r="B253" t="s">
        <v>217</v>
      </c>
      <c r="C253" t="s">
        <v>243</v>
      </c>
      <c r="D253" t="s">
        <v>310</v>
      </c>
      <c r="E253">
        <v>1.2381770000000001</v>
      </c>
      <c r="F253">
        <v>43.496478000000003</v>
      </c>
    </row>
    <row r="254" spans="1:6" x14ac:dyDescent="0.25">
      <c r="A254" s="1">
        <v>251</v>
      </c>
      <c r="B254" t="s">
        <v>218</v>
      </c>
      <c r="C254" t="s">
        <v>267</v>
      </c>
      <c r="D254" t="s">
        <v>310</v>
      </c>
      <c r="E254">
        <v>1.3747400000000001</v>
      </c>
      <c r="F254">
        <v>43.572856999999999</v>
      </c>
    </row>
    <row r="255" spans="1:6" x14ac:dyDescent="0.25">
      <c r="A255" s="1">
        <v>252</v>
      </c>
      <c r="B255" t="s">
        <v>219</v>
      </c>
      <c r="C255" t="s">
        <v>298</v>
      </c>
      <c r="D255" t="s">
        <v>310</v>
      </c>
      <c r="E255">
        <v>-52.924799999999998</v>
      </c>
      <c r="F255">
        <v>5.2786999999999997</v>
      </c>
    </row>
    <row r="256" spans="1:6" x14ac:dyDescent="0.25">
      <c r="A256" s="1">
        <v>253</v>
      </c>
      <c r="B256" t="s">
        <v>220</v>
      </c>
      <c r="C256" t="s">
        <v>304</v>
      </c>
      <c r="D256" t="s">
        <v>310</v>
      </c>
      <c r="E256">
        <v>-53.514130000000002</v>
      </c>
      <c r="F256">
        <v>69.253489999999999</v>
      </c>
    </row>
    <row r="257" spans="1:6" x14ac:dyDescent="0.25">
      <c r="A257" s="1">
        <v>254</v>
      </c>
      <c r="B257" t="s">
        <v>221</v>
      </c>
      <c r="C257" t="s">
        <v>304</v>
      </c>
      <c r="D257" t="s">
        <v>310</v>
      </c>
      <c r="E257">
        <v>-7.641769</v>
      </c>
      <c r="F257">
        <v>53.322978499999998</v>
      </c>
    </row>
    <row r="258" spans="1:6" x14ac:dyDescent="0.25">
      <c r="A258" s="1">
        <v>255</v>
      </c>
      <c r="B258" t="s">
        <v>222</v>
      </c>
      <c r="C258" t="s">
        <v>303</v>
      </c>
      <c r="D258" t="s">
        <v>310</v>
      </c>
      <c r="E258">
        <v>35.051988510000001</v>
      </c>
      <c r="F258">
        <v>31.345044590000001</v>
      </c>
    </row>
    <row r="259" spans="1:6" x14ac:dyDescent="0.25">
      <c r="A259" s="1">
        <v>256</v>
      </c>
      <c r="B259" t="s">
        <v>188</v>
      </c>
      <c r="C259" t="s">
        <v>298</v>
      </c>
      <c r="D259" t="s">
        <v>310</v>
      </c>
      <c r="E259">
        <v>14.957169</v>
      </c>
      <c r="F259">
        <v>40.523614000000002</v>
      </c>
    </row>
    <row r="260" spans="1:6" x14ac:dyDescent="0.25">
      <c r="A260" s="1">
        <v>257</v>
      </c>
      <c r="B260" t="s">
        <v>223</v>
      </c>
      <c r="C260" t="s">
        <v>229</v>
      </c>
      <c r="D260" t="s">
        <v>310</v>
      </c>
      <c r="E260">
        <v>10.741966</v>
      </c>
      <c r="F260">
        <v>45.197754000000003</v>
      </c>
    </row>
    <row r="261" spans="1:6" x14ac:dyDescent="0.25">
      <c r="A261" s="1">
        <v>258</v>
      </c>
      <c r="B261" t="s">
        <v>189</v>
      </c>
      <c r="C261" t="s">
        <v>301</v>
      </c>
      <c r="D261" t="s">
        <v>310</v>
      </c>
      <c r="E261">
        <v>12.356870000000001</v>
      </c>
      <c r="F261">
        <v>41.704300000000003</v>
      </c>
    </row>
    <row r="262" spans="1:6" x14ac:dyDescent="0.25">
      <c r="A262" s="1">
        <v>259</v>
      </c>
      <c r="B262" t="s">
        <v>224</v>
      </c>
      <c r="C262" t="s">
        <v>235</v>
      </c>
      <c r="D262" t="s">
        <v>310</v>
      </c>
      <c r="E262">
        <v>11.281319999999999</v>
      </c>
      <c r="F262">
        <v>45.956200000000003</v>
      </c>
    </row>
    <row r="263" spans="1:6" x14ac:dyDescent="0.25">
      <c r="A263" s="1">
        <v>260</v>
      </c>
      <c r="B263" t="s">
        <v>190</v>
      </c>
      <c r="C263" t="s">
        <v>239</v>
      </c>
      <c r="D263" t="s">
        <v>310</v>
      </c>
      <c r="E263">
        <v>12.750297</v>
      </c>
      <c r="F263">
        <v>45.740482</v>
      </c>
    </row>
    <row r="264" spans="1:6" x14ac:dyDescent="0.25">
      <c r="A264" s="1">
        <v>261</v>
      </c>
      <c r="B264" t="s">
        <v>225</v>
      </c>
      <c r="C264" t="s">
        <v>235</v>
      </c>
      <c r="D264" t="s">
        <v>310</v>
      </c>
      <c r="E264">
        <v>11.045831</v>
      </c>
      <c r="F264">
        <v>46.014679999999998</v>
      </c>
    </row>
    <row r="265" spans="1:6" x14ac:dyDescent="0.25">
      <c r="A265" s="1">
        <v>262</v>
      </c>
      <c r="B265" t="s">
        <v>226</v>
      </c>
      <c r="C265" t="s">
        <v>253</v>
      </c>
      <c r="D265" t="s">
        <v>310</v>
      </c>
      <c r="E265">
        <v>11.43369</v>
      </c>
      <c r="F265">
        <v>46.586860000000001</v>
      </c>
    </row>
    <row r="266" spans="1:6" x14ac:dyDescent="0.25">
      <c r="A266" s="1">
        <v>263</v>
      </c>
      <c r="B266" t="s">
        <v>191</v>
      </c>
      <c r="C266" t="s">
        <v>305</v>
      </c>
      <c r="D266" t="s">
        <v>310</v>
      </c>
      <c r="E266">
        <v>10.291491000000001</v>
      </c>
      <c r="F266">
        <v>43.731912999999999</v>
      </c>
    </row>
    <row r="267" spans="1:6" x14ac:dyDescent="0.25">
      <c r="A267" s="1">
        <v>264</v>
      </c>
      <c r="B267" t="s">
        <v>192</v>
      </c>
      <c r="C267" t="s">
        <v>246</v>
      </c>
      <c r="D267" t="s">
        <v>310</v>
      </c>
      <c r="E267">
        <v>7.578055</v>
      </c>
      <c r="F267">
        <v>45.844439999999999</v>
      </c>
    </row>
    <row r="268" spans="1:6" x14ac:dyDescent="0.25">
      <c r="A268" s="1">
        <v>265</v>
      </c>
      <c r="B268" t="s">
        <v>194</v>
      </c>
      <c r="C268" t="s">
        <v>231</v>
      </c>
      <c r="D268" t="s">
        <v>310</v>
      </c>
      <c r="E268">
        <v>32.901878000000004</v>
      </c>
      <c r="F268">
        <v>56.447603000000001</v>
      </c>
    </row>
    <row r="269" spans="1:6" x14ac:dyDescent="0.25">
      <c r="A269" s="1">
        <v>266</v>
      </c>
      <c r="B269" t="s">
        <v>195</v>
      </c>
      <c r="C269" t="s">
        <v>306</v>
      </c>
      <c r="D269" t="s">
        <v>310</v>
      </c>
      <c r="E269">
        <v>32.922083299999997</v>
      </c>
      <c r="F269">
        <v>56.461527799999999</v>
      </c>
    </row>
    <row r="270" spans="1:6" x14ac:dyDescent="0.25">
      <c r="A270" s="1">
        <v>267</v>
      </c>
      <c r="B270" t="s">
        <v>196</v>
      </c>
      <c r="C270" t="s">
        <v>263</v>
      </c>
      <c r="D270" t="s">
        <v>310</v>
      </c>
      <c r="E270">
        <v>19.557448000000001</v>
      </c>
      <c r="F270">
        <v>64.182333</v>
      </c>
    </row>
    <row r="271" spans="1:6" x14ac:dyDescent="0.25">
      <c r="A271" s="1">
        <v>268</v>
      </c>
      <c r="B271" t="s">
        <v>197</v>
      </c>
      <c r="C271" t="s">
        <v>231</v>
      </c>
      <c r="D271" t="s">
        <v>310</v>
      </c>
      <c r="E271">
        <v>13.417892999999999</v>
      </c>
      <c r="F271">
        <v>56.097566</v>
      </c>
    </row>
    <row r="272" spans="1:6" x14ac:dyDescent="0.25">
      <c r="A272" s="1">
        <v>269</v>
      </c>
      <c r="B272" t="s">
        <v>199</v>
      </c>
      <c r="C272" t="s">
        <v>230</v>
      </c>
      <c r="D272" t="s">
        <v>310</v>
      </c>
      <c r="E272">
        <v>17.47852</v>
      </c>
      <c r="F272">
        <v>60.08699</v>
      </c>
    </row>
    <row r="273" spans="1:6" x14ac:dyDescent="0.25">
      <c r="A273" s="1">
        <v>270</v>
      </c>
      <c r="B273" t="s">
        <v>200</v>
      </c>
      <c r="C273" t="s">
        <v>230</v>
      </c>
      <c r="D273" t="s">
        <v>310</v>
      </c>
      <c r="E273">
        <v>19.738</v>
      </c>
      <c r="F273">
        <v>64.172499999999999</v>
      </c>
    </row>
    <row r="274" spans="1:6" x14ac:dyDescent="0.25">
      <c r="A274" s="1">
        <v>271</v>
      </c>
      <c r="B274" t="s">
        <v>201</v>
      </c>
      <c r="C274" t="s">
        <v>230</v>
      </c>
      <c r="D274" t="s">
        <v>310</v>
      </c>
      <c r="E274">
        <v>19.776502000000001</v>
      </c>
      <c r="F274">
        <v>64.256304999999998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1E3F-F5FB-4BEB-8D1F-C1E313BFCD68}">
  <dimension ref="A1:AC691"/>
  <sheetViews>
    <sheetView topLeftCell="A103" workbookViewId="0">
      <selection activeCell="E28" sqref="E28"/>
    </sheetView>
  </sheetViews>
  <sheetFormatPr defaultRowHeight="15" x14ac:dyDescent="0.25"/>
  <sheetData>
    <row r="1" spans="1:29" x14ac:dyDescent="0.25">
      <c r="A1" t="s">
        <v>314</v>
      </c>
      <c r="B1" t="s">
        <v>315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  <c r="M1" t="s">
        <v>326</v>
      </c>
      <c r="N1" t="s">
        <v>327</v>
      </c>
      <c r="O1" t="s">
        <v>328</v>
      </c>
      <c r="P1" t="s">
        <v>329</v>
      </c>
      <c r="Q1" t="s">
        <v>330</v>
      </c>
      <c r="R1" t="s">
        <v>331</v>
      </c>
      <c r="S1" t="s">
        <v>332</v>
      </c>
      <c r="T1" t="s">
        <v>333</v>
      </c>
      <c r="U1" t="s">
        <v>334</v>
      </c>
      <c r="V1" t="s">
        <v>335</v>
      </c>
      <c r="W1" t="s">
        <v>336</v>
      </c>
      <c r="X1" t="s">
        <v>337</v>
      </c>
      <c r="Y1" t="s">
        <v>338</v>
      </c>
      <c r="Z1" t="s">
        <v>339</v>
      </c>
      <c r="AA1" t="s">
        <v>340</v>
      </c>
      <c r="AB1" t="s">
        <v>341</v>
      </c>
      <c r="AC1" t="s">
        <v>342</v>
      </c>
    </row>
    <row r="2" spans="1:29" x14ac:dyDescent="0.25">
      <c r="A2" t="s">
        <v>343</v>
      </c>
      <c r="B2" t="s">
        <v>344</v>
      </c>
      <c r="C2" t="s">
        <v>345</v>
      </c>
      <c r="D2" t="s">
        <v>346</v>
      </c>
      <c r="E2" t="s">
        <v>347</v>
      </c>
      <c r="F2" t="s">
        <v>348</v>
      </c>
      <c r="G2" t="s">
        <v>349</v>
      </c>
      <c r="H2" t="s">
        <v>350</v>
      </c>
      <c r="I2" t="s">
        <v>351</v>
      </c>
      <c r="J2" t="s">
        <v>352</v>
      </c>
      <c r="K2">
        <v>926</v>
      </c>
      <c r="L2">
        <v>14</v>
      </c>
      <c r="M2" t="s">
        <v>353</v>
      </c>
      <c r="N2">
        <v>-37.759599999999999</v>
      </c>
      <c r="O2">
        <v>-58.302399999999999</v>
      </c>
      <c r="P2">
        <v>130</v>
      </c>
      <c r="Q2">
        <v>2</v>
      </c>
      <c r="R2">
        <v>2012</v>
      </c>
      <c r="S2">
        <v>2013</v>
      </c>
      <c r="T2" t="s">
        <v>354</v>
      </c>
      <c r="U2" t="s">
        <v>355</v>
      </c>
      <c r="Z2">
        <v>2012</v>
      </c>
      <c r="AA2">
        <v>2013</v>
      </c>
      <c r="AB2" t="s">
        <v>356</v>
      </c>
    </row>
    <row r="3" spans="1:29" x14ac:dyDescent="0.25">
      <c r="A3" t="s">
        <v>357</v>
      </c>
      <c r="B3" t="s">
        <v>358</v>
      </c>
      <c r="C3" t="s">
        <v>359</v>
      </c>
      <c r="D3" t="s">
        <v>346</v>
      </c>
      <c r="E3" t="s">
        <v>347</v>
      </c>
      <c r="F3" t="s">
        <v>348</v>
      </c>
      <c r="G3" t="s">
        <v>349</v>
      </c>
      <c r="H3" t="s">
        <v>350</v>
      </c>
      <c r="I3" t="s">
        <v>360</v>
      </c>
      <c r="J3" t="s">
        <v>361</v>
      </c>
      <c r="K3">
        <v>1060</v>
      </c>
      <c r="L3">
        <v>16.100000000000001</v>
      </c>
      <c r="M3" t="s">
        <v>353</v>
      </c>
      <c r="N3">
        <v>-35.621000000000002</v>
      </c>
      <c r="O3">
        <v>-61.318100000000001</v>
      </c>
      <c r="P3">
        <v>83</v>
      </c>
      <c r="Q3">
        <v>9</v>
      </c>
      <c r="R3">
        <v>2012</v>
      </c>
      <c r="S3">
        <v>2020</v>
      </c>
      <c r="T3" t="s">
        <v>362</v>
      </c>
      <c r="U3" t="s">
        <v>363</v>
      </c>
      <c r="Z3">
        <v>2012</v>
      </c>
      <c r="AB3" t="s">
        <v>364</v>
      </c>
    </row>
    <row r="4" spans="1:29" x14ac:dyDescent="0.25">
      <c r="A4" t="s">
        <v>365</v>
      </c>
      <c r="B4" t="s">
        <v>366</v>
      </c>
      <c r="C4" t="s">
        <v>359</v>
      </c>
      <c r="D4" t="s">
        <v>346</v>
      </c>
      <c r="E4" t="s">
        <v>347</v>
      </c>
      <c r="F4" t="s">
        <v>347</v>
      </c>
      <c r="G4" t="s">
        <v>367</v>
      </c>
      <c r="H4" t="s">
        <v>368</v>
      </c>
      <c r="I4" t="s">
        <v>360</v>
      </c>
      <c r="J4" t="s">
        <v>361</v>
      </c>
      <c r="K4">
        <v>1060</v>
      </c>
      <c r="L4">
        <v>16.100000000000001</v>
      </c>
      <c r="M4" t="s">
        <v>353</v>
      </c>
      <c r="N4">
        <v>-35.924399999999999</v>
      </c>
      <c r="O4">
        <v>-61.185499999999998</v>
      </c>
      <c r="P4">
        <v>84</v>
      </c>
      <c r="Q4">
        <v>6</v>
      </c>
      <c r="R4">
        <v>2018</v>
      </c>
      <c r="S4">
        <v>2023</v>
      </c>
      <c r="T4" t="s">
        <v>369</v>
      </c>
      <c r="U4" t="s">
        <v>370</v>
      </c>
      <c r="V4">
        <v>2018</v>
      </c>
      <c r="W4">
        <v>2023</v>
      </c>
      <c r="X4" t="s">
        <v>369</v>
      </c>
      <c r="Y4" t="s">
        <v>371</v>
      </c>
      <c r="Z4">
        <v>2018</v>
      </c>
      <c r="AB4" t="s">
        <v>364</v>
      </c>
    </row>
    <row r="5" spans="1:29" x14ac:dyDescent="0.25">
      <c r="A5" t="s">
        <v>372</v>
      </c>
      <c r="B5" t="s">
        <v>373</v>
      </c>
      <c r="C5" t="s">
        <v>374</v>
      </c>
      <c r="D5" t="s">
        <v>375</v>
      </c>
      <c r="E5" t="s">
        <v>347</v>
      </c>
      <c r="F5" t="s">
        <v>348</v>
      </c>
      <c r="G5" t="s">
        <v>376</v>
      </c>
      <c r="H5" t="s">
        <v>377</v>
      </c>
      <c r="I5" t="s">
        <v>351</v>
      </c>
      <c r="J5" t="s">
        <v>352</v>
      </c>
      <c r="K5">
        <v>926</v>
      </c>
      <c r="L5">
        <v>14</v>
      </c>
      <c r="M5" t="s">
        <v>353</v>
      </c>
      <c r="N5">
        <v>-37.702800000000003</v>
      </c>
      <c r="O5">
        <v>-57.419199999999996</v>
      </c>
      <c r="P5">
        <v>1</v>
      </c>
      <c r="Q5">
        <v>1</v>
      </c>
      <c r="R5">
        <v>2018</v>
      </c>
      <c r="S5">
        <v>2018</v>
      </c>
      <c r="T5">
        <v>2018</v>
      </c>
      <c r="U5" t="s">
        <v>378</v>
      </c>
      <c r="Z5">
        <v>2018</v>
      </c>
      <c r="AA5">
        <v>2018</v>
      </c>
      <c r="AB5" t="s">
        <v>379</v>
      </c>
    </row>
    <row r="6" spans="1:29" x14ac:dyDescent="0.25">
      <c r="A6" t="s">
        <v>380</v>
      </c>
      <c r="B6" t="s">
        <v>381</v>
      </c>
      <c r="C6" t="s">
        <v>345</v>
      </c>
      <c r="D6" t="s">
        <v>375</v>
      </c>
      <c r="E6" t="s">
        <v>347</v>
      </c>
      <c r="F6" t="s">
        <v>348</v>
      </c>
      <c r="G6" t="s">
        <v>376</v>
      </c>
      <c r="H6" t="s">
        <v>377</v>
      </c>
      <c r="I6" t="s">
        <v>351</v>
      </c>
      <c r="J6" t="s">
        <v>352</v>
      </c>
      <c r="K6">
        <v>926</v>
      </c>
      <c r="L6">
        <v>14</v>
      </c>
      <c r="M6" t="s">
        <v>353</v>
      </c>
      <c r="N6">
        <v>-37.550800000000002</v>
      </c>
      <c r="O6">
        <v>-57.297199999999997</v>
      </c>
      <c r="P6">
        <v>1</v>
      </c>
      <c r="Q6">
        <v>2</v>
      </c>
      <c r="R6">
        <v>2014</v>
      </c>
      <c r="S6">
        <v>2015</v>
      </c>
      <c r="T6" t="s">
        <v>382</v>
      </c>
      <c r="U6" t="s">
        <v>383</v>
      </c>
      <c r="Z6">
        <v>2014</v>
      </c>
      <c r="AA6">
        <v>2015</v>
      </c>
      <c r="AB6" t="s">
        <v>356</v>
      </c>
    </row>
    <row r="7" spans="1:29" x14ac:dyDescent="0.25">
      <c r="A7" t="s">
        <v>3</v>
      </c>
      <c r="B7" t="s">
        <v>384</v>
      </c>
      <c r="C7" t="s">
        <v>385</v>
      </c>
      <c r="D7" t="s">
        <v>346</v>
      </c>
      <c r="E7" t="s">
        <v>347</v>
      </c>
      <c r="F7" t="s">
        <v>347</v>
      </c>
      <c r="G7" t="s">
        <v>376</v>
      </c>
      <c r="H7" t="s">
        <v>377</v>
      </c>
      <c r="M7" t="s">
        <v>353</v>
      </c>
      <c r="N7">
        <v>-54.973300000000002</v>
      </c>
      <c r="O7">
        <v>-66.733500000000006</v>
      </c>
      <c r="P7">
        <v>40</v>
      </c>
      <c r="Q7">
        <v>3</v>
      </c>
      <c r="R7">
        <v>2016</v>
      </c>
      <c r="S7">
        <v>2018</v>
      </c>
      <c r="T7" t="s">
        <v>386</v>
      </c>
      <c r="U7" t="s">
        <v>387</v>
      </c>
      <c r="V7">
        <v>2016</v>
      </c>
      <c r="W7">
        <v>2018</v>
      </c>
      <c r="X7" t="s">
        <v>386</v>
      </c>
      <c r="Y7" t="s">
        <v>388</v>
      </c>
      <c r="Z7">
        <v>2016</v>
      </c>
      <c r="AA7">
        <v>2018</v>
      </c>
      <c r="AB7" t="s">
        <v>389</v>
      </c>
    </row>
    <row r="8" spans="1:29" x14ac:dyDescent="0.25">
      <c r="A8" t="s">
        <v>390</v>
      </c>
      <c r="B8" t="s">
        <v>391</v>
      </c>
      <c r="C8" t="s">
        <v>385</v>
      </c>
      <c r="D8" t="s">
        <v>346</v>
      </c>
      <c r="E8" t="s">
        <v>347</v>
      </c>
      <c r="F8" t="s">
        <v>348</v>
      </c>
      <c r="G8" t="s">
        <v>376</v>
      </c>
      <c r="H8" t="s">
        <v>377</v>
      </c>
      <c r="K8">
        <v>530</v>
      </c>
      <c r="L8">
        <v>5.5</v>
      </c>
      <c r="M8" t="s">
        <v>353</v>
      </c>
      <c r="N8">
        <v>-54.826900000000002</v>
      </c>
      <c r="O8">
        <v>-68.454899999999995</v>
      </c>
      <c r="P8">
        <v>60</v>
      </c>
      <c r="Q8">
        <v>3</v>
      </c>
      <c r="R8">
        <v>2016</v>
      </c>
      <c r="S8">
        <v>2018</v>
      </c>
      <c r="T8" t="s">
        <v>386</v>
      </c>
      <c r="U8" t="s">
        <v>392</v>
      </c>
      <c r="Z8">
        <v>2016</v>
      </c>
      <c r="AA8">
        <v>2018</v>
      </c>
      <c r="AB8" t="s">
        <v>393</v>
      </c>
    </row>
    <row r="9" spans="1:29" x14ac:dyDescent="0.25">
      <c r="A9" t="s">
        <v>394</v>
      </c>
      <c r="B9" t="s">
        <v>395</v>
      </c>
      <c r="C9" t="s">
        <v>396</v>
      </c>
      <c r="D9" t="s">
        <v>375</v>
      </c>
      <c r="E9" t="s">
        <v>348</v>
      </c>
      <c r="F9" t="s">
        <v>348</v>
      </c>
      <c r="G9" t="s">
        <v>397</v>
      </c>
      <c r="H9" t="s">
        <v>398</v>
      </c>
      <c r="K9">
        <v>2300</v>
      </c>
      <c r="L9">
        <v>27.4</v>
      </c>
      <c r="M9" t="s">
        <v>399</v>
      </c>
      <c r="N9">
        <v>-2.6334</v>
      </c>
      <c r="O9">
        <v>-60.150500000000001</v>
      </c>
      <c r="P9">
        <v>116</v>
      </c>
      <c r="Q9">
        <v>0</v>
      </c>
      <c r="Z9">
        <v>2023</v>
      </c>
    </row>
    <row r="10" spans="1:29" x14ac:dyDescent="0.25">
      <c r="A10" t="s">
        <v>400</v>
      </c>
      <c r="B10" t="s">
        <v>401</v>
      </c>
      <c r="C10" t="s">
        <v>402</v>
      </c>
      <c r="D10" t="s">
        <v>346</v>
      </c>
      <c r="E10" t="s">
        <v>348</v>
      </c>
      <c r="F10" t="s">
        <v>348</v>
      </c>
      <c r="G10" t="s">
        <v>397</v>
      </c>
      <c r="H10" t="s">
        <v>398</v>
      </c>
      <c r="I10" t="s">
        <v>403</v>
      </c>
      <c r="J10" t="s">
        <v>404</v>
      </c>
      <c r="K10">
        <v>2500</v>
      </c>
      <c r="L10">
        <v>26</v>
      </c>
      <c r="M10" t="s">
        <v>399</v>
      </c>
      <c r="N10">
        <v>-1.7184999999999999</v>
      </c>
      <c r="O10">
        <v>-51.458300000000001</v>
      </c>
      <c r="P10">
        <v>48.4</v>
      </c>
      <c r="Q10">
        <v>0</v>
      </c>
      <c r="Z10">
        <v>2005</v>
      </c>
    </row>
    <row r="11" spans="1:29" x14ac:dyDescent="0.25">
      <c r="A11" t="s">
        <v>405</v>
      </c>
      <c r="B11" t="s">
        <v>406</v>
      </c>
      <c r="C11" t="s">
        <v>407</v>
      </c>
      <c r="D11" t="s">
        <v>375</v>
      </c>
      <c r="E11" t="s">
        <v>348</v>
      </c>
      <c r="F11" t="s">
        <v>348</v>
      </c>
      <c r="G11" t="s">
        <v>349</v>
      </c>
      <c r="H11" t="s">
        <v>350</v>
      </c>
      <c r="I11" t="s">
        <v>408</v>
      </c>
      <c r="J11" t="s">
        <v>409</v>
      </c>
      <c r="K11">
        <v>1566</v>
      </c>
      <c r="L11">
        <v>26.8</v>
      </c>
      <c r="M11" t="s">
        <v>399</v>
      </c>
      <c r="N11">
        <v>-13.2875</v>
      </c>
      <c r="O11">
        <v>-56.088200000000001</v>
      </c>
      <c r="P11">
        <v>427</v>
      </c>
      <c r="Q11">
        <v>0</v>
      </c>
      <c r="Z11">
        <v>2015</v>
      </c>
      <c r="AA11">
        <v>2019</v>
      </c>
    </row>
    <row r="12" spans="1:29" x14ac:dyDescent="0.25">
      <c r="A12" t="s">
        <v>410</v>
      </c>
      <c r="B12" t="s">
        <v>411</v>
      </c>
      <c r="C12" t="s">
        <v>412</v>
      </c>
      <c r="D12" t="s">
        <v>346</v>
      </c>
      <c r="E12" t="s">
        <v>347</v>
      </c>
      <c r="F12" t="s">
        <v>347</v>
      </c>
      <c r="G12" t="s">
        <v>413</v>
      </c>
      <c r="H12" t="s">
        <v>414</v>
      </c>
      <c r="I12" t="s">
        <v>415</v>
      </c>
      <c r="J12" t="s">
        <v>416</v>
      </c>
      <c r="K12">
        <v>642</v>
      </c>
      <c r="L12">
        <v>25.2</v>
      </c>
      <c r="M12" t="s">
        <v>399</v>
      </c>
      <c r="N12">
        <v>-7.9682000000000004</v>
      </c>
      <c r="O12">
        <v>-38.3842</v>
      </c>
      <c r="P12">
        <v>468</v>
      </c>
      <c r="Q12">
        <v>2</v>
      </c>
      <c r="R12">
        <v>2014</v>
      </c>
      <c r="S12">
        <v>2015</v>
      </c>
      <c r="T12" t="s">
        <v>382</v>
      </c>
      <c r="U12" t="s">
        <v>417</v>
      </c>
      <c r="V12">
        <v>2014</v>
      </c>
      <c r="W12">
        <v>2015</v>
      </c>
      <c r="X12" t="s">
        <v>382</v>
      </c>
      <c r="Y12" t="s">
        <v>418</v>
      </c>
      <c r="Z12">
        <v>2014</v>
      </c>
      <c r="AB12" t="s">
        <v>419</v>
      </c>
    </row>
    <row r="13" spans="1:29" x14ac:dyDescent="0.25">
      <c r="A13" t="s">
        <v>420</v>
      </c>
      <c r="B13" t="s">
        <v>421</v>
      </c>
      <c r="C13" t="s">
        <v>422</v>
      </c>
      <c r="D13" t="s">
        <v>375</v>
      </c>
      <c r="E13" t="s">
        <v>348</v>
      </c>
      <c r="F13" t="s">
        <v>348</v>
      </c>
      <c r="G13" t="s">
        <v>376</v>
      </c>
      <c r="H13" t="s">
        <v>377</v>
      </c>
      <c r="I13" t="s">
        <v>423</v>
      </c>
      <c r="J13" t="s">
        <v>424</v>
      </c>
      <c r="K13">
        <v>457.2</v>
      </c>
      <c r="L13">
        <v>26.4</v>
      </c>
      <c r="M13" t="s">
        <v>399</v>
      </c>
      <c r="N13">
        <v>-0.66610000000000003</v>
      </c>
      <c r="O13">
        <v>-47.283299999999997</v>
      </c>
      <c r="P13">
        <v>21</v>
      </c>
      <c r="Q13">
        <v>0</v>
      </c>
      <c r="Z13">
        <v>2015</v>
      </c>
    </row>
    <row r="14" spans="1:29" x14ac:dyDescent="0.25">
      <c r="A14" t="s">
        <v>425</v>
      </c>
      <c r="B14" t="s">
        <v>426</v>
      </c>
      <c r="C14" t="s">
        <v>427</v>
      </c>
      <c r="D14" t="s">
        <v>346</v>
      </c>
      <c r="E14" t="s">
        <v>348</v>
      </c>
      <c r="F14" t="s">
        <v>348</v>
      </c>
      <c r="G14" t="s">
        <v>428</v>
      </c>
      <c r="H14" t="s">
        <v>429</v>
      </c>
      <c r="I14" t="s">
        <v>403</v>
      </c>
      <c r="J14" t="s">
        <v>404</v>
      </c>
      <c r="K14">
        <v>1900</v>
      </c>
      <c r="L14">
        <v>25</v>
      </c>
      <c r="M14" t="s">
        <v>399</v>
      </c>
      <c r="N14">
        <v>-3.7873999999999999</v>
      </c>
      <c r="O14">
        <v>-55.366399999999999</v>
      </c>
      <c r="P14">
        <v>15</v>
      </c>
      <c r="Q14">
        <v>0</v>
      </c>
      <c r="Z14">
        <v>2024</v>
      </c>
    </row>
    <row r="15" spans="1:29" x14ac:dyDescent="0.25">
      <c r="A15" t="s">
        <v>430</v>
      </c>
      <c r="B15" t="s">
        <v>431</v>
      </c>
      <c r="C15" t="s">
        <v>432</v>
      </c>
      <c r="D15" t="s">
        <v>375</v>
      </c>
      <c r="E15" t="s">
        <v>348</v>
      </c>
      <c r="F15" t="s">
        <v>348</v>
      </c>
      <c r="G15" t="s">
        <v>433</v>
      </c>
      <c r="H15" t="s">
        <v>434</v>
      </c>
      <c r="I15" t="s">
        <v>435</v>
      </c>
      <c r="J15" t="s">
        <v>436</v>
      </c>
      <c r="K15">
        <v>1486</v>
      </c>
      <c r="L15">
        <v>21.6</v>
      </c>
      <c r="M15" t="s">
        <v>399</v>
      </c>
      <c r="N15">
        <v>-22.170999999999999</v>
      </c>
      <c r="O15">
        <v>-47.871000000000002</v>
      </c>
      <c r="P15">
        <v>763</v>
      </c>
      <c r="Q15">
        <v>0</v>
      </c>
      <c r="Z15">
        <v>2018</v>
      </c>
      <c r="AA15">
        <v>2021</v>
      </c>
    </row>
    <row r="16" spans="1:29" x14ac:dyDescent="0.25">
      <c r="A16" t="s">
        <v>437</v>
      </c>
      <c r="B16" t="s">
        <v>438</v>
      </c>
      <c r="C16" t="s">
        <v>402</v>
      </c>
      <c r="D16" t="s">
        <v>346</v>
      </c>
      <c r="E16" t="s">
        <v>348</v>
      </c>
      <c r="F16" t="s">
        <v>348</v>
      </c>
      <c r="G16" t="s">
        <v>367</v>
      </c>
      <c r="H16" t="s">
        <v>368</v>
      </c>
      <c r="I16" t="s">
        <v>403</v>
      </c>
      <c r="J16" t="s">
        <v>404</v>
      </c>
      <c r="M16" t="s">
        <v>399</v>
      </c>
      <c r="N16">
        <v>-10.761799999999999</v>
      </c>
      <c r="O16">
        <v>-62.357199999999999</v>
      </c>
      <c r="P16">
        <v>260</v>
      </c>
      <c r="Q16">
        <v>0</v>
      </c>
      <c r="Z16">
        <v>1999</v>
      </c>
      <c r="AA16">
        <v>2010</v>
      </c>
    </row>
    <row r="17" spans="1:28" x14ac:dyDescent="0.25">
      <c r="A17" t="s">
        <v>439</v>
      </c>
      <c r="B17" t="s">
        <v>440</v>
      </c>
      <c r="C17" t="s">
        <v>402</v>
      </c>
      <c r="D17" t="s">
        <v>346</v>
      </c>
      <c r="E17" t="s">
        <v>348</v>
      </c>
      <c r="F17" t="s">
        <v>348</v>
      </c>
      <c r="G17" t="s">
        <v>397</v>
      </c>
      <c r="H17" t="s">
        <v>398</v>
      </c>
      <c r="I17" t="s">
        <v>423</v>
      </c>
      <c r="J17" t="s">
        <v>424</v>
      </c>
      <c r="L17">
        <v>21</v>
      </c>
      <c r="M17" t="s">
        <v>399</v>
      </c>
      <c r="N17">
        <v>-10.1866</v>
      </c>
      <c r="O17">
        <v>-61.872500000000002</v>
      </c>
      <c r="P17">
        <v>160</v>
      </c>
      <c r="Q17">
        <v>0</v>
      </c>
      <c r="Z17">
        <v>1999</v>
      </c>
    </row>
    <row r="18" spans="1:28" x14ac:dyDescent="0.25">
      <c r="A18" t="s">
        <v>441</v>
      </c>
      <c r="B18" t="s">
        <v>442</v>
      </c>
      <c r="C18" t="s">
        <v>443</v>
      </c>
      <c r="D18" t="s">
        <v>346</v>
      </c>
      <c r="E18" t="s">
        <v>348</v>
      </c>
      <c r="F18" t="s">
        <v>348</v>
      </c>
      <c r="G18" t="s">
        <v>397</v>
      </c>
      <c r="H18" t="s">
        <v>398</v>
      </c>
      <c r="I18" t="s">
        <v>403</v>
      </c>
      <c r="J18" t="s">
        <v>404</v>
      </c>
      <c r="K18">
        <v>2252</v>
      </c>
      <c r="L18">
        <v>26.68</v>
      </c>
      <c r="M18" t="s">
        <v>399</v>
      </c>
      <c r="N18">
        <v>-2.6091000000000002</v>
      </c>
      <c r="O18">
        <v>-60.209299999999999</v>
      </c>
      <c r="P18">
        <v>130</v>
      </c>
      <c r="Q18">
        <v>0</v>
      </c>
      <c r="Z18">
        <v>1999</v>
      </c>
    </row>
    <row r="19" spans="1:28" x14ac:dyDescent="0.25">
      <c r="A19" t="s">
        <v>444</v>
      </c>
      <c r="B19" t="s">
        <v>445</v>
      </c>
      <c r="C19" t="s">
        <v>402</v>
      </c>
      <c r="D19" t="s">
        <v>346</v>
      </c>
      <c r="E19" t="s">
        <v>348</v>
      </c>
      <c r="F19" t="s">
        <v>348</v>
      </c>
      <c r="G19" t="s">
        <v>446</v>
      </c>
      <c r="H19" t="s">
        <v>447</v>
      </c>
      <c r="I19" t="s">
        <v>403</v>
      </c>
      <c r="J19" t="s">
        <v>404</v>
      </c>
      <c r="K19">
        <v>2792</v>
      </c>
      <c r="L19">
        <v>29</v>
      </c>
      <c r="M19" t="s">
        <v>399</v>
      </c>
      <c r="N19">
        <v>-2.3906999999999998</v>
      </c>
      <c r="O19">
        <v>-59.883499999999998</v>
      </c>
      <c r="P19">
        <v>147</v>
      </c>
      <c r="Q19">
        <v>0</v>
      </c>
      <c r="Z19">
        <v>2008</v>
      </c>
      <c r="AA19">
        <v>2018</v>
      </c>
    </row>
    <row r="20" spans="1:28" x14ac:dyDescent="0.25">
      <c r="A20" t="s">
        <v>448</v>
      </c>
      <c r="B20" t="s">
        <v>449</v>
      </c>
      <c r="C20" t="s">
        <v>402</v>
      </c>
      <c r="D20" t="s">
        <v>346</v>
      </c>
      <c r="E20" t="s">
        <v>348</v>
      </c>
      <c r="F20" t="s">
        <v>348</v>
      </c>
      <c r="G20" t="s">
        <v>446</v>
      </c>
      <c r="H20" t="s">
        <v>447</v>
      </c>
      <c r="I20" t="s">
        <v>403</v>
      </c>
      <c r="J20" t="s">
        <v>404</v>
      </c>
      <c r="K20">
        <v>2500</v>
      </c>
      <c r="L20">
        <v>25.5</v>
      </c>
      <c r="M20" t="s">
        <v>399</v>
      </c>
      <c r="N20">
        <v>-1.9786999999999999</v>
      </c>
      <c r="O20">
        <v>-48.614699999999999</v>
      </c>
      <c r="P20">
        <v>26</v>
      </c>
      <c r="Q20">
        <v>0</v>
      </c>
      <c r="Z20">
        <v>2015</v>
      </c>
      <c r="AA20">
        <v>2022</v>
      </c>
    </row>
    <row r="21" spans="1:28" x14ac:dyDescent="0.25">
      <c r="A21" t="s">
        <v>450</v>
      </c>
      <c r="B21" t="s">
        <v>451</v>
      </c>
      <c r="C21" t="s">
        <v>407</v>
      </c>
      <c r="D21" t="s">
        <v>346</v>
      </c>
      <c r="E21" t="s">
        <v>347</v>
      </c>
      <c r="F21" t="s">
        <v>347</v>
      </c>
      <c r="G21" t="s">
        <v>433</v>
      </c>
      <c r="H21" t="s">
        <v>434</v>
      </c>
      <c r="I21" t="s">
        <v>408</v>
      </c>
      <c r="J21" t="s">
        <v>409</v>
      </c>
      <c r="K21">
        <v>1486</v>
      </c>
      <c r="L21">
        <v>24.9</v>
      </c>
      <c r="M21" t="s">
        <v>399</v>
      </c>
      <c r="N21">
        <v>-16.498000000000001</v>
      </c>
      <c r="O21">
        <v>-56.411999999999999</v>
      </c>
      <c r="P21">
        <v>120</v>
      </c>
      <c r="Q21">
        <v>5</v>
      </c>
      <c r="R21">
        <v>2013</v>
      </c>
      <c r="S21">
        <v>2017</v>
      </c>
      <c r="T21" t="s">
        <v>452</v>
      </c>
      <c r="U21" t="s">
        <v>453</v>
      </c>
      <c r="V21">
        <v>2013</v>
      </c>
      <c r="W21">
        <v>2017</v>
      </c>
      <c r="X21" t="s">
        <v>452</v>
      </c>
      <c r="Y21" t="s">
        <v>454</v>
      </c>
      <c r="Z21">
        <v>2013</v>
      </c>
      <c r="AB21" t="s">
        <v>455</v>
      </c>
    </row>
    <row r="22" spans="1:28" x14ac:dyDescent="0.25">
      <c r="A22" t="s">
        <v>456</v>
      </c>
      <c r="B22" t="s">
        <v>457</v>
      </c>
      <c r="C22" t="s">
        <v>458</v>
      </c>
      <c r="D22" t="s">
        <v>375</v>
      </c>
      <c r="E22" t="s">
        <v>348</v>
      </c>
      <c r="F22" t="s">
        <v>348</v>
      </c>
      <c r="G22" t="s">
        <v>349</v>
      </c>
      <c r="H22" t="s">
        <v>350</v>
      </c>
      <c r="I22" t="s">
        <v>360</v>
      </c>
      <c r="J22" t="s">
        <v>361</v>
      </c>
      <c r="K22">
        <v>1500</v>
      </c>
      <c r="L22">
        <v>21</v>
      </c>
      <c r="M22" t="s">
        <v>399</v>
      </c>
      <c r="N22">
        <v>-29.744</v>
      </c>
      <c r="O22">
        <v>-53.150300000000001</v>
      </c>
      <c r="Q22">
        <v>0</v>
      </c>
      <c r="Z22">
        <v>2003</v>
      </c>
      <c r="AA22">
        <v>2004</v>
      </c>
    </row>
    <row r="23" spans="1:28" x14ac:dyDescent="0.25">
      <c r="A23" t="s">
        <v>459</v>
      </c>
      <c r="B23" t="s">
        <v>460</v>
      </c>
      <c r="C23" t="s">
        <v>461</v>
      </c>
      <c r="D23" t="s">
        <v>346</v>
      </c>
      <c r="E23" t="s">
        <v>347</v>
      </c>
      <c r="F23" t="s">
        <v>348</v>
      </c>
      <c r="G23" t="s">
        <v>397</v>
      </c>
      <c r="H23" t="s">
        <v>398</v>
      </c>
      <c r="I23" t="s">
        <v>423</v>
      </c>
      <c r="J23" t="s">
        <v>424</v>
      </c>
      <c r="K23">
        <v>2074.79</v>
      </c>
      <c r="L23">
        <v>26.13</v>
      </c>
      <c r="M23" t="s">
        <v>399</v>
      </c>
      <c r="N23">
        <v>-2.8567</v>
      </c>
      <c r="O23">
        <v>-54.9589</v>
      </c>
      <c r="P23">
        <v>88</v>
      </c>
      <c r="Q23">
        <v>10</v>
      </c>
      <c r="R23">
        <v>2002</v>
      </c>
      <c r="S23">
        <v>2011</v>
      </c>
      <c r="T23" t="s">
        <v>462</v>
      </c>
      <c r="U23" t="s">
        <v>463</v>
      </c>
      <c r="Z23">
        <v>2002</v>
      </c>
      <c r="AB23" t="s">
        <v>464</v>
      </c>
    </row>
    <row r="24" spans="1:28" x14ac:dyDescent="0.25">
      <c r="A24" t="s">
        <v>465</v>
      </c>
      <c r="B24" t="s">
        <v>466</v>
      </c>
      <c r="C24" t="s">
        <v>467</v>
      </c>
      <c r="D24" t="s">
        <v>346</v>
      </c>
      <c r="E24" t="s">
        <v>347</v>
      </c>
      <c r="F24" t="s">
        <v>348</v>
      </c>
      <c r="G24" t="s">
        <v>397</v>
      </c>
      <c r="H24" t="s">
        <v>398</v>
      </c>
      <c r="I24" t="s">
        <v>423</v>
      </c>
      <c r="J24" t="s">
        <v>424</v>
      </c>
      <c r="K24">
        <v>2043.77</v>
      </c>
      <c r="L24">
        <v>26.12</v>
      </c>
      <c r="M24" t="s">
        <v>399</v>
      </c>
      <c r="N24">
        <v>-3.0179999999999998</v>
      </c>
      <c r="O24">
        <v>-54.971400000000003</v>
      </c>
      <c r="P24">
        <v>100</v>
      </c>
      <c r="Q24">
        <v>5</v>
      </c>
      <c r="R24">
        <v>2000</v>
      </c>
      <c r="S24">
        <v>2004</v>
      </c>
      <c r="T24" t="s">
        <v>468</v>
      </c>
      <c r="U24" t="s">
        <v>469</v>
      </c>
      <c r="Z24">
        <v>2000</v>
      </c>
      <c r="AA24">
        <v>2003</v>
      </c>
      <c r="AB24" t="s">
        <v>470</v>
      </c>
    </row>
    <row r="25" spans="1:28" x14ac:dyDescent="0.25">
      <c r="A25" t="s">
        <v>471</v>
      </c>
      <c r="B25" t="s">
        <v>472</v>
      </c>
      <c r="C25" t="s">
        <v>402</v>
      </c>
      <c r="D25" t="s">
        <v>346</v>
      </c>
      <c r="E25" t="s">
        <v>348</v>
      </c>
      <c r="F25" t="s">
        <v>348</v>
      </c>
      <c r="G25" t="s">
        <v>397</v>
      </c>
      <c r="H25" t="s">
        <v>398</v>
      </c>
      <c r="I25" t="s">
        <v>403</v>
      </c>
      <c r="J25" t="s">
        <v>404</v>
      </c>
      <c r="K25">
        <v>3000</v>
      </c>
      <c r="L25">
        <v>27</v>
      </c>
      <c r="M25" t="s">
        <v>399</v>
      </c>
      <c r="N25">
        <v>0.21010000000000001</v>
      </c>
      <c r="O25">
        <v>-66.752899999999997</v>
      </c>
      <c r="P25">
        <v>100</v>
      </c>
      <c r="Q25">
        <v>0</v>
      </c>
      <c r="Z25">
        <v>2004</v>
      </c>
      <c r="AA25">
        <v>2010</v>
      </c>
    </row>
    <row r="26" spans="1:28" x14ac:dyDescent="0.25">
      <c r="A26" t="s">
        <v>473</v>
      </c>
      <c r="B26" t="s">
        <v>474</v>
      </c>
      <c r="C26" t="s">
        <v>475</v>
      </c>
      <c r="D26" t="s">
        <v>375</v>
      </c>
      <c r="E26" t="s">
        <v>348</v>
      </c>
      <c r="F26" t="s">
        <v>348</v>
      </c>
      <c r="G26" t="s">
        <v>433</v>
      </c>
      <c r="H26" t="s">
        <v>434</v>
      </c>
      <c r="I26" t="s">
        <v>408</v>
      </c>
      <c r="J26" t="s">
        <v>409</v>
      </c>
      <c r="K26">
        <v>850</v>
      </c>
      <c r="L26">
        <v>25</v>
      </c>
      <c r="M26" t="s">
        <v>399</v>
      </c>
      <c r="N26">
        <v>-19.565000000000001</v>
      </c>
      <c r="O26">
        <v>-57.018000000000001</v>
      </c>
      <c r="P26">
        <v>90</v>
      </c>
      <c r="Q26">
        <v>0</v>
      </c>
      <c r="Z26">
        <v>2023</v>
      </c>
    </row>
    <row r="27" spans="1:28" x14ac:dyDescent="0.25">
      <c r="A27" t="s">
        <v>476</v>
      </c>
      <c r="B27" t="s">
        <v>477</v>
      </c>
      <c r="C27" t="s">
        <v>478</v>
      </c>
      <c r="D27" t="s">
        <v>346</v>
      </c>
      <c r="E27" t="s">
        <v>347</v>
      </c>
      <c r="F27" t="s">
        <v>348</v>
      </c>
      <c r="G27" t="s">
        <v>479</v>
      </c>
      <c r="H27" t="s">
        <v>480</v>
      </c>
      <c r="I27" t="s">
        <v>481</v>
      </c>
      <c r="J27" t="s">
        <v>482</v>
      </c>
      <c r="K27">
        <v>1078</v>
      </c>
      <c r="L27">
        <v>5.6</v>
      </c>
      <c r="M27" t="s">
        <v>483</v>
      </c>
      <c r="N27">
        <v>46.0092</v>
      </c>
      <c r="O27">
        <v>-66.362700000000004</v>
      </c>
      <c r="P27">
        <v>78</v>
      </c>
      <c r="Q27">
        <v>2</v>
      </c>
      <c r="R27">
        <v>2023</v>
      </c>
      <c r="S27">
        <v>2024</v>
      </c>
      <c r="T27" t="s">
        <v>484</v>
      </c>
      <c r="U27" t="s">
        <v>485</v>
      </c>
      <c r="Z27">
        <v>2023</v>
      </c>
      <c r="AB27" t="s">
        <v>486</v>
      </c>
    </row>
    <row r="28" spans="1:28" x14ac:dyDescent="0.25">
      <c r="A28" t="s">
        <v>487</v>
      </c>
      <c r="B28" t="s">
        <v>488</v>
      </c>
      <c r="C28" t="s">
        <v>489</v>
      </c>
      <c r="D28" t="s">
        <v>346</v>
      </c>
      <c r="E28" t="s">
        <v>347</v>
      </c>
      <c r="F28" t="s">
        <v>347</v>
      </c>
      <c r="G28" t="s">
        <v>376</v>
      </c>
      <c r="H28" t="s">
        <v>377</v>
      </c>
      <c r="I28" t="s">
        <v>481</v>
      </c>
      <c r="J28" t="s">
        <v>482</v>
      </c>
      <c r="K28">
        <v>700</v>
      </c>
      <c r="L28">
        <v>-1.3</v>
      </c>
      <c r="M28" t="s">
        <v>483</v>
      </c>
      <c r="N28">
        <v>52.695</v>
      </c>
      <c r="O28">
        <v>-83.9452</v>
      </c>
      <c r="P28">
        <v>90</v>
      </c>
      <c r="Q28">
        <v>5</v>
      </c>
      <c r="R28">
        <v>2011</v>
      </c>
      <c r="S28">
        <v>2015</v>
      </c>
      <c r="T28" t="s">
        <v>490</v>
      </c>
      <c r="U28" t="s">
        <v>491</v>
      </c>
      <c r="V28">
        <v>2011</v>
      </c>
      <c r="W28">
        <v>2015</v>
      </c>
      <c r="X28" t="s">
        <v>490</v>
      </c>
      <c r="Y28" t="s">
        <v>492</v>
      </c>
      <c r="Z28">
        <v>2010</v>
      </c>
      <c r="AB28" t="s">
        <v>493</v>
      </c>
    </row>
    <row r="29" spans="1:28" x14ac:dyDescent="0.25">
      <c r="A29" t="s">
        <v>494</v>
      </c>
      <c r="B29" t="s">
        <v>495</v>
      </c>
      <c r="C29" t="s">
        <v>489</v>
      </c>
      <c r="D29" t="s">
        <v>346</v>
      </c>
      <c r="E29" t="s">
        <v>347</v>
      </c>
      <c r="F29" t="s">
        <v>347</v>
      </c>
      <c r="G29" t="s">
        <v>376</v>
      </c>
      <c r="H29" t="s">
        <v>377</v>
      </c>
      <c r="I29" t="s">
        <v>481</v>
      </c>
      <c r="J29" t="s">
        <v>482</v>
      </c>
      <c r="K29">
        <v>700</v>
      </c>
      <c r="L29">
        <v>-1.3</v>
      </c>
      <c r="M29" t="s">
        <v>483</v>
      </c>
      <c r="N29">
        <v>52.700800000000001</v>
      </c>
      <c r="O29">
        <v>-83.954999999999998</v>
      </c>
      <c r="P29">
        <v>88</v>
      </c>
      <c r="Q29">
        <v>5</v>
      </c>
      <c r="R29">
        <v>2011</v>
      </c>
      <c r="S29">
        <v>2015</v>
      </c>
      <c r="T29" t="s">
        <v>490</v>
      </c>
      <c r="U29" t="s">
        <v>496</v>
      </c>
      <c r="V29">
        <v>2011</v>
      </c>
      <c r="W29">
        <v>2015</v>
      </c>
      <c r="X29" t="s">
        <v>490</v>
      </c>
      <c r="Y29" t="s">
        <v>497</v>
      </c>
      <c r="Z29">
        <v>2010</v>
      </c>
      <c r="AB29" t="s">
        <v>493</v>
      </c>
    </row>
    <row r="30" spans="1:28" x14ac:dyDescent="0.25">
      <c r="A30" t="s">
        <v>498</v>
      </c>
      <c r="B30" t="s">
        <v>499</v>
      </c>
      <c r="C30" t="s">
        <v>500</v>
      </c>
      <c r="D30" t="s">
        <v>346</v>
      </c>
      <c r="E30" t="s">
        <v>348</v>
      </c>
      <c r="F30" t="s">
        <v>348</v>
      </c>
      <c r="G30" t="s">
        <v>376</v>
      </c>
      <c r="H30" t="s">
        <v>377</v>
      </c>
      <c r="I30" t="s">
        <v>481</v>
      </c>
      <c r="J30" t="s">
        <v>482</v>
      </c>
      <c r="K30">
        <v>1009.8</v>
      </c>
      <c r="L30">
        <v>7.8</v>
      </c>
      <c r="M30" t="s">
        <v>483</v>
      </c>
      <c r="N30">
        <v>42.620600000000003</v>
      </c>
      <c r="O30">
        <v>-80.551599999999993</v>
      </c>
      <c r="P30">
        <v>201</v>
      </c>
      <c r="Q30">
        <v>0</v>
      </c>
      <c r="Z30">
        <v>2023</v>
      </c>
    </row>
    <row r="31" spans="1:28" x14ac:dyDescent="0.25">
      <c r="A31" t="s">
        <v>501</v>
      </c>
      <c r="B31" t="s">
        <v>502</v>
      </c>
      <c r="C31" t="s">
        <v>503</v>
      </c>
      <c r="D31" t="s">
        <v>346</v>
      </c>
      <c r="E31" t="s">
        <v>347</v>
      </c>
      <c r="F31" t="s">
        <v>347</v>
      </c>
      <c r="G31" t="s">
        <v>376</v>
      </c>
      <c r="H31" t="s">
        <v>377</v>
      </c>
      <c r="I31" t="s">
        <v>504</v>
      </c>
      <c r="J31" t="s">
        <v>505</v>
      </c>
      <c r="K31">
        <v>1011</v>
      </c>
      <c r="L31">
        <v>1.5</v>
      </c>
      <c r="M31" t="s">
        <v>483</v>
      </c>
      <c r="N31">
        <v>50.5244</v>
      </c>
      <c r="O31">
        <v>-63.206400000000002</v>
      </c>
      <c r="P31">
        <v>108</v>
      </c>
      <c r="Q31">
        <v>3</v>
      </c>
      <c r="R31">
        <v>2018</v>
      </c>
      <c r="S31">
        <v>2020</v>
      </c>
      <c r="T31" t="s">
        <v>506</v>
      </c>
      <c r="U31" t="s">
        <v>507</v>
      </c>
      <c r="V31">
        <v>2018</v>
      </c>
      <c r="W31">
        <v>2020</v>
      </c>
      <c r="X31" t="s">
        <v>506</v>
      </c>
      <c r="Y31" t="s">
        <v>508</v>
      </c>
      <c r="Z31">
        <v>2018</v>
      </c>
      <c r="AA31">
        <v>2020</v>
      </c>
      <c r="AB31" t="s">
        <v>509</v>
      </c>
    </row>
    <row r="32" spans="1:28" x14ac:dyDescent="0.25">
      <c r="A32" t="s">
        <v>510</v>
      </c>
      <c r="B32" t="s">
        <v>511</v>
      </c>
      <c r="C32" t="s">
        <v>512</v>
      </c>
      <c r="D32" t="s">
        <v>346</v>
      </c>
      <c r="E32" t="s">
        <v>347</v>
      </c>
      <c r="F32" t="s">
        <v>347</v>
      </c>
      <c r="G32" t="s">
        <v>513</v>
      </c>
      <c r="H32" t="s">
        <v>514</v>
      </c>
      <c r="I32" t="s">
        <v>351</v>
      </c>
      <c r="J32" t="s">
        <v>352</v>
      </c>
      <c r="K32">
        <v>1369</v>
      </c>
      <c r="L32">
        <v>9.93</v>
      </c>
      <c r="M32" t="s">
        <v>483</v>
      </c>
      <c r="N32">
        <v>49.8673</v>
      </c>
      <c r="O32">
        <v>-125.3336</v>
      </c>
      <c r="P32">
        <v>300</v>
      </c>
      <c r="Q32">
        <v>15</v>
      </c>
      <c r="R32">
        <v>1996</v>
      </c>
      <c r="S32">
        <v>2010</v>
      </c>
      <c r="T32" t="s">
        <v>515</v>
      </c>
      <c r="U32" t="s">
        <v>516</v>
      </c>
      <c r="V32">
        <v>1996</v>
      </c>
      <c r="W32">
        <v>2010</v>
      </c>
      <c r="X32" t="s">
        <v>515</v>
      </c>
      <c r="Y32" t="s">
        <v>517</v>
      </c>
      <c r="Z32">
        <v>1997</v>
      </c>
      <c r="AB32" t="s">
        <v>518</v>
      </c>
    </row>
    <row r="33" spans="1:28" x14ac:dyDescent="0.25">
      <c r="A33" t="s">
        <v>519</v>
      </c>
      <c r="B33" t="s">
        <v>520</v>
      </c>
      <c r="C33" t="s">
        <v>512</v>
      </c>
      <c r="D33" t="s">
        <v>346</v>
      </c>
      <c r="E33" t="s">
        <v>347</v>
      </c>
      <c r="F33" t="s">
        <v>347</v>
      </c>
      <c r="G33" t="s">
        <v>513</v>
      </c>
      <c r="H33" t="s">
        <v>514</v>
      </c>
      <c r="I33" t="s">
        <v>351</v>
      </c>
      <c r="J33" t="s">
        <v>352</v>
      </c>
      <c r="K33">
        <v>1474</v>
      </c>
      <c r="L33">
        <v>9.86</v>
      </c>
      <c r="M33" t="s">
        <v>483</v>
      </c>
      <c r="N33">
        <v>49.8705</v>
      </c>
      <c r="O33">
        <v>-125.29089999999999</v>
      </c>
      <c r="P33">
        <v>300</v>
      </c>
      <c r="Q33">
        <v>12</v>
      </c>
      <c r="R33">
        <v>1999</v>
      </c>
      <c r="S33">
        <v>2010</v>
      </c>
      <c r="T33" t="s">
        <v>521</v>
      </c>
      <c r="U33" t="s">
        <v>522</v>
      </c>
      <c r="V33">
        <v>1999</v>
      </c>
      <c r="W33">
        <v>2010</v>
      </c>
      <c r="X33" t="s">
        <v>521</v>
      </c>
      <c r="Y33" t="s">
        <v>523</v>
      </c>
      <c r="Z33">
        <v>2000</v>
      </c>
      <c r="AB33" t="s">
        <v>524</v>
      </c>
    </row>
    <row r="34" spans="1:28" x14ac:dyDescent="0.25">
      <c r="A34" t="s">
        <v>525</v>
      </c>
      <c r="B34" t="s">
        <v>526</v>
      </c>
      <c r="C34" t="s">
        <v>512</v>
      </c>
      <c r="D34" t="s">
        <v>346</v>
      </c>
      <c r="E34" t="s">
        <v>347</v>
      </c>
      <c r="F34" t="s">
        <v>348</v>
      </c>
      <c r="G34" t="s">
        <v>513</v>
      </c>
      <c r="H34" t="s">
        <v>514</v>
      </c>
      <c r="I34" t="s">
        <v>351</v>
      </c>
      <c r="J34" t="s">
        <v>352</v>
      </c>
      <c r="K34">
        <v>1676</v>
      </c>
      <c r="L34">
        <v>9.94</v>
      </c>
      <c r="M34" t="s">
        <v>483</v>
      </c>
      <c r="N34">
        <v>49.534599999999998</v>
      </c>
      <c r="O34">
        <v>-124.9004</v>
      </c>
      <c r="Q34">
        <v>22</v>
      </c>
      <c r="R34">
        <v>2001</v>
      </c>
      <c r="S34">
        <v>2022</v>
      </c>
      <c r="T34" t="s">
        <v>527</v>
      </c>
      <c r="U34" t="s">
        <v>528</v>
      </c>
      <c r="Z34">
        <v>2001</v>
      </c>
      <c r="AB34" t="s">
        <v>529</v>
      </c>
    </row>
    <row r="35" spans="1:28" x14ac:dyDescent="0.25">
      <c r="A35" t="s">
        <v>4</v>
      </c>
      <c r="B35" t="s">
        <v>530</v>
      </c>
      <c r="C35" t="s">
        <v>531</v>
      </c>
      <c r="D35" t="s">
        <v>346</v>
      </c>
      <c r="E35" t="s">
        <v>347</v>
      </c>
      <c r="F35" t="s">
        <v>347</v>
      </c>
      <c r="G35" t="s">
        <v>428</v>
      </c>
      <c r="H35" t="s">
        <v>429</v>
      </c>
      <c r="I35" t="s">
        <v>481</v>
      </c>
      <c r="J35" t="s">
        <v>482</v>
      </c>
      <c r="K35">
        <v>876.34</v>
      </c>
      <c r="L35">
        <v>6.66</v>
      </c>
      <c r="M35" t="s">
        <v>483</v>
      </c>
      <c r="N35">
        <v>44.316699999999997</v>
      </c>
      <c r="O35">
        <v>-79.933300000000003</v>
      </c>
      <c r="P35">
        <v>120</v>
      </c>
      <c r="Q35">
        <v>27</v>
      </c>
      <c r="R35">
        <v>1994</v>
      </c>
      <c r="S35">
        <v>2020</v>
      </c>
      <c r="T35" t="s">
        <v>532</v>
      </c>
      <c r="U35" t="s">
        <v>533</v>
      </c>
      <c r="V35">
        <v>1994</v>
      </c>
      <c r="W35">
        <v>2020</v>
      </c>
      <c r="X35" t="s">
        <v>532</v>
      </c>
      <c r="Y35" t="s">
        <v>534</v>
      </c>
      <c r="Z35">
        <v>1995</v>
      </c>
      <c r="AB35" t="s">
        <v>535</v>
      </c>
    </row>
    <row r="36" spans="1:28" x14ac:dyDescent="0.25">
      <c r="A36" t="s">
        <v>536</v>
      </c>
      <c r="B36" t="s">
        <v>537</v>
      </c>
      <c r="C36" t="s">
        <v>538</v>
      </c>
      <c r="D36" t="s">
        <v>346</v>
      </c>
      <c r="E36" t="s">
        <v>347</v>
      </c>
      <c r="F36" t="s">
        <v>347</v>
      </c>
      <c r="G36" t="s">
        <v>376</v>
      </c>
      <c r="H36" t="s">
        <v>377</v>
      </c>
      <c r="I36" t="s">
        <v>539</v>
      </c>
      <c r="J36" t="s">
        <v>540</v>
      </c>
      <c r="K36">
        <v>452</v>
      </c>
      <c r="L36">
        <v>-6.5</v>
      </c>
      <c r="M36" t="s">
        <v>483</v>
      </c>
      <c r="N36">
        <v>58.665799999999997</v>
      </c>
      <c r="O36">
        <v>-93.83</v>
      </c>
      <c r="P36">
        <v>16.5</v>
      </c>
      <c r="Q36">
        <v>2</v>
      </c>
      <c r="R36">
        <v>2007</v>
      </c>
      <c r="S36">
        <v>2008</v>
      </c>
      <c r="T36" t="s">
        <v>541</v>
      </c>
      <c r="U36" t="s">
        <v>542</v>
      </c>
      <c r="V36">
        <v>2007</v>
      </c>
      <c r="W36">
        <v>2008</v>
      </c>
      <c r="X36" t="s">
        <v>541</v>
      </c>
      <c r="Y36" t="s">
        <v>543</v>
      </c>
      <c r="Z36">
        <v>2007</v>
      </c>
      <c r="AA36">
        <v>2008</v>
      </c>
      <c r="AB36" t="s">
        <v>544</v>
      </c>
    </row>
    <row r="37" spans="1:28" x14ac:dyDescent="0.25">
      <c r="A37" t="s">
        <v>545</v>
      </c>
      <c r="B37" t="s">
        <v>546</v>
      </c>
      <c r="C37" t="s">
        <v>547</v>
      </c>
      <c r="D37" t="s">
        <v>346</v>
      </c>
      <c r="E37" t="s">
        <v>347</v>
      </c>
      <c r="F37" t="s">
        <v>348</v>
      </c>
      <c r="G37" t="s">
        <v>376</v>
      </c>
      <c r="H37" t="s">
        <v>377</v>
      </c>
      <c r="I37" t="s">
        <v>539</v>
      </c>
      <c r="J37" t="s">
        <v>540</v>
      </c>
      <c r="K37">
        <v>452</v>
      </c>
      <c r="L37">
        <v>-6.5</v>
      </c>
      <c r="M37" t="s">
        <v>483</v>
      </c>
      <c r="N37">
        <v>58.665799999999997</v>
      </c>
      <c r="O37">
        <v>-93.83</v>
      </c>
      <c r="P37">
        <v>16.5</v>
      </c>
      <c r="Q37">
        <v>4</v>
      </c>
      <c r="R37">
        <v>2008</v>
      </c>
      <c r="S37">
        <v>2011</v>
      </c>
      <c r="T37" t="s">
        <v>548</v>
      </c>
      <c r="U37" t="s">
        <v>549</v>
      </c>
      <c r="Z37">
        <v>2008</v>
      </c>
      <c r="AA37">
        <v>2011</v>
      </c>
      <c r="AB37" t="s">
        <v>550</v>
      </c>
    </row>
    <row r="38" spans="1:28" x14ac:dyDescent="0.25">
      <c r="A38" t="s">
        <v>551</v>
      </c>
      <c r="B38" t="s">
        <v>552</v>
      </c>
      <c r="C38" t="s">
        <v>553</v>
      </c>
      <c r="D38" t="s">
        <v>346</v>
      </c>
      <c r="E38" t="s">
        <v>347</v>
      </c>
      <c r="F38" t="s">
        <v>348</v>
      </c>
      <c r="G38" t="s">
        <v>376</v>
      </c>
      <c r="H38" t="s">
        <v>377</v>
      </c>
      <c r="I38" t="s">
        <v>539</v>
      </c>
      <c r="J38" t="s">
        <v>540</v>
      </c>
      <c r="M38" t="s">
        <v>483</v>
      </c>
      <c r="N38">
        <v>58.665799999999997</v>
      </c>
      <c r="O38">
        <v>-93.830399999999997</v>
      </c>
      <c r="P38">
        <v>25</v>
      </c>
      <c r="Q38">
        <v>2</v>
      </c>
      <c r="R38">
        <v>2022</v>
      </c>
      <c r="S38">
        <v>2023</v>
      </c>
      <c r="T38" t="s">
        <v>554</v>
      </c>
      <c r="U38" t="s">
        <v>555</v>
      </c>
      <c r="Z38">
        <v>2022</v>
      </c>
      <c r="AB38" t="s">
        <v>556</v>
      </c>
    </row>
    <row r="39" spans="1:28" x14ac:dyDescent="0.25">
      <c r="A39" t="s">
        <v>557</v>
      </c>
      <c r="B39" t="s">
        <v>558</v>
      </c>
      <c r="C39" t="s">
        <v>559</v>
      </c>
      <c r="D39" t="s">
        <v>346</v>
      </c>
      <c r="E39" t="s">
        <v>347</v>
      </c>
      <c r="F39" t="s">
        <v>348</v>
      </c>
      <c r="G39" t="s">
        <v>479</v>
      </c>
      <c r="H39" t="s">
        <v>480</v>
      </c>
      <c r="I39" t="s">
        <v>481</v>
      </c>
      <c r="J39" t="s">
        <v>482</v>
      </c>
      <c r="K39">
        <v>971.68</v>
      </c>
      <c r="L39">
        <v>3.46</v>
      </c>
      <c r="M39" t="s">
        <v>483</v>
      </c>
      <c r="N39">
        <v>45.884700000000002</v>
      </c>
      <c r="O39">
        <v>-67.356899999999996</v>
      </c>
      <c r="P39">
        <v>341</v>
      </c>
      <c r="Q39">
        <v>2</v>
      </c>
      <c r="R39">
        <v>2004</v>
      </c>
      <c r="S39">
        <v>2005</v>
      </c>
      <c r="T39" t="s">
        <v>560</v>
      </c>
      <c r="U39" t="s">
        <v>561</v>
      </c>
      <c r="Z39">
        <v>2004</v>
      </c>
      <c r="AA39">
        <v>2005</v>
      </c>
      <c r="AB39" t="s">
        <v>562</v>
      </c>
    </row>
    <row r="40" spans="1:28" x14ac:dyDescent="0.25">
      <c r="A40" t="s">
        <v>563</v>
      </c>
      <c r="B40" t="s">
        <v>564</v>
      </c>
      <c r="C40" t="s">
        <v>565</v>
      </c>
      <c r="D40" t="s">
        <v>346</v>
      </c>
      <c r="E40" t="s">
        <v>348</v>
      </c>
      <c r="F40" t="s">
        <v>348</v>
      </c>
      <c r="G40" t="s">
        <v>349</v>
      </c>
      <c r="H40" t="s">
        <v>350</v>
      </c>
      <c r="I40" t="s">
        <v>481</v>
      </c>
      <c r="J40" t="s">
        <v>482</v>
      </c>
      <c r="K40">
        <v>872.8</v>
      </c>
      <c r="L40">
        <v>5.9</v>
      </c>
      <c r="M40" t="s">
        <v>483</v>
      </c>
      <c r="N40">
        <v>46.164499999999997</v>
      </c>
      <c r="O40">
        <v>-72.685000000000002</v>
      </c>
      <c r="P40">
        <v>6</v>
      </c>
      <c r="Q40">
        <v>0</v>
      </c>
      <c r="Z40">
        <v>2024</v>
      </c>
    </row>
    <row r="41" spans="1:28" x14ac:dyDescent="0.25">
      <c r="A41" t="s">
        <v>5</v>
      </c>
      <c r="B41" t="s">
        <v>566</v>
      </c>
      <c r="C41" t="s">
        <v>567</v>
      </c>
      <c r="D41" t="s">
        <v>346</v>
      </c>
      <c r="E41" t="s">
        <v>347</v>
      </c>
      <c r="F41" t="s">
        <v>347</v>
      </c>
      <c r="G41" t="s">
        <v>376</v>
      </c>
      <c r="H41" t="s">
        <v>377</v>
      </c>
      <c r="M41" t="s">
        <v>483</v>
      </c>
      <c r="N41">
        <v>49.119</v>
      </c>
      <c r="O41">
        <v>-122.99509999999999</v>
      </c>
      <c r="P41">
        <v>4</v>
      </c>
      <c r="Q41">
        <v>2</v>
      </c>
      <c r="R41">
        <v>2019</v>
      </c>
      <c r="S41">
        <v>2020</v>
      </c>
      <c r="T41" t="s">
        <v>568</v>
      </c>
      <c r="U41" t="s">
        <v>569</v>
      </c>
      <c r="V41">
        <v>2019</v>
      </c>
      <c r="W41">
        <v>2020</v>
      </c>
      <c r="X41" t="s">
        <v>568</v>
      </c>
      <c r="Y41" t="s">
        <v>570</v>
      </c>
      <c r="Z41">
        <v>2019</v>
      </c>
      <c r="AB41" t="s">
        <v>571</v>
      </c>
    </row>
    <row r="42" spans="1:28" x14ac:dyDescent="0.25">
      <c r="A42" t="s">
        <v>6</v>
      </c>
      <c r="B42" t="s">
        <v>572</v>
      </c>
      <c r="C42" t="s">
        <v>567</v>
      </c>
      <c r="D42" t="s">
        <v>346</v>
      </c>
      <c r="E42" t="s">
        <v>347</v>
      </c>
      <c r="F42" t="s">
        <v>347</v>
      </c>
      <c r="G42" t="s">
        <v>376</v>
      </c>
      <c r="H42" t="s">
        <v>377</v>
      </c>
      <c r="I42" t="s">
        <v>573</v>
      </c>
      <c r="J42" t="s">
        <v>574</v>
      </c>
      <c r="K42">
        <v>1128</v>
      </c>
      <c r="L42">
        <v>10</v>
      </c>
      <c r="M42" t="s">
        <v>483</v>
      </c>
      <c r="N42">
        <v>49.129300000000001</v>
      </c>
      <c r="O42">
        <v>-122.9849</v>
      </c>
      <c r="P42">
        <v>4</v>
      </c>
      <c r="Q42">
        <v>7</v>
      </c>
      <c r="R42">
        <v>2014</v>
      </c>
      <c r="S42">
        <v>2020</v>
      </c>
      <c r="T42" t="s">
        <v>575</v>
      </c>
      <c r="U42" t="s">
        <v>576</v>
      </c>
      <c r="V42">
        <v>2014</v>
      </c>
      <c r="W42">
        <v>2020</v>
      </c>
      <c r="X42" t="s">
        <v>575</v>
      </c>
      <c r="Y42" t="s">
        <v>577</v>
      </c>
      <c r="Z42">
        <v>2014</v>
      </c>
      <c r="AB42" t="s">
        <v>571</v>
      </c>
    </row>
    <row r="43" spans="1:28" x14ac:dyDescent="0.25">
      <c r="A43" t="s">
        <v>578</v>
      </c>
      <c r="B43" t="s">
        <v>579</v>
      </c>
      <c r="C43" t="s">
        <v>580</v>
      </c>
      <c r="D43" t="s">
        <v>346</v>
      </c>
      <c r="E43" t="s">
        <v>348</v>
      </c>
      <c r="F43" t="s">
        <v>348</v>
      </c>
      <c r="G43" t="s">
        <v>581</v>
      </c>
      <c r="H43" t="s">
        <v>582</v>
      </c>
      <c r="I43" t="s">
        <v>539</v>
      </c>
      <c r="J43" t="s">
        <v>540</v>
      </c>
      <c r="K43">
        <v>250</v>
      </c>
      <c r="L43">
        <v>-9</v>
      </c>
      <c r="M43" t="s">
        <v>483</v>
      </c>
      <c r="N43">
        <v>64.868899999999996</v>
      </c>
      <c r="O43">
        <v>-111.5748</v>
      </c>
      <c r="P43">
        <v>425</v>
      </c>
      <c r="Q43">
        <v>0</v>
      </c>
      <c r="Z43">
        <v>2004</v>
      </c>
    </row>
    <row r="44" spans="1:28" x14ac:dyDescent="0.25">
      <c r="A44" t="s">
        <v>583</v>
      </c>
      <c r="B44" t="s">
        <v>584</v>
      </c>
      <c r="C44" t="s">
        <v>580</v>
      </c>
      <c r="D44" t="s">
        <v>346</v>
      </c>
      <c r="E44" t="s">
        <v>348</v>
      </c>
      <c r="F44" t="s">
        <v>348</v>
      </c>
      <c r="G44" t="s">
        <v>376</v>
      </c>
      <c r="H44" t="s">
        <v>377</v>
      </c>
      <c r="I44" t="s">
        <v>539</v>
      </c>
      <c r="J44" t="s">
        <v>540</v>
      </c>
      <c r="K44">
        <v>250</v>
      </c>
      <c r="L44">
        <v>-9</v>
      </c>
      <c r="M44" t="s">
        <v>483</v>
      </c>
      <c r="N44">
        <v>64.864800000000002</v>
      </c>
      <c r="O44">
        <v>-111.5677</v>
      </c>
      <c r="P44">
        <v>416</v>
      </c>
      <c r="Q44">
        <v>0</v>
      </c>
      <c r="Z44">
        <v>2006</v>
      </c>
    </row>
    <row r="45" spans="1:28" x14ac:dyDescent="0.25">
      <c r="A45" t="s">
        <v>585</v>
      </c>
      <c r="B45" t="s">
        <v>586</v>
      </c>
      <c r="C45" t="s">
        <v>567</v>
      </c>
      <c r="D45" t="s">
        <v>346</v>
      </c>
      <c r="E45" t="s">
        <v>347</v>
      </c>
      <c r="F45" t="s">
        <v>348</v>
      </c>
      <c r="G45" t="s">
        <v>376</v>
      </c>
      <c r="H45" t="s">
        <v>377</v>
      </c>
      <c r="I45" t="s">
        <v>573</v>
      </c>
      <c r="J45" t="s">
        <v>574</v>
      </c>
      <c r="K45">
        <v>1077.8</v>
      </c>
      <c r="L45">
        <v>10.6</v>
      </c>
      <c r="M45" t="s">
        <v>483</v>
      </c>
      <c r="N45">
        <v>49.088700000000003</v>
      </c>
      <c r="O45">
        <v>-122.8954</v>
      </c>
      <c r="Q45">
        <v>1</v>
      </c>
      <c r="R45">
        <v>2022</v>
      </c>
      <c r="S45">
        <v>2022</v>
      </c>
      <c r="T45">
        <v>2022</v>
      </c>
      <c r="U45" t="s">
        <v>587</v>
      </c>
      <c r="Z45">
        <v>2021</v>
      </c>
      <c r="AB45" t="s">
        <v>588</v>
      </c>
    </row>
    <row r="46" spans="1:28" x14ac:dyDescent="0.25">
      <c r="A46" t="s">
        <v>589</v>
      </c>
      <c r="B46" t="s">
        <v>590</v>
      </c>
      <c r="C46" t="s">
        <v>591</v>
      </c>
      <c r="D46" t="s">
        <v>346</v>
      </c>
      <c r="E46" t="s">
        <v>347</v>
      </c>
      <c r="F46" t="s">
        <v>347</v>
      </c>
      <c r="G46" t="s">
        <v>376</v>
      </c>
      <c r="H46" t="s">
        <v>377</v>
      </c>
      <c r="I46" t="s">
        <v>481</v>
      </c>
      <c r="J46" t="s">
        <v>482</v>
      </c>
      <c r="K46">
        <v>504.8</v>
      </c>
      <c r="L46">
        <v>1.3</v>
      </c>
      <c r="M46" t="s">
        <v>483</v>
      </c>
      <c r="N46">
        <v>50.362299999999998</v>
      </c>
      <c r="O46">
        <v>-100.2024</v>
      </c>
      <c r="P46">
        <v>607.9</v>
      </c>
      <c r="Q46">
        <v>3</v>
      </c>
      <c r="R46">
        <v>2021</v>
      </c>
      <c r="S46">
        <v>2023</v>
      </c>
      <c r="T46" t="s">
        <v>592</v>
      </c>
      <c r="U46" t="s">
        <v>593</v>
      </c>
      <c r="V46">
        <v>2021</v>
      </c>
      <c r="W46">
        <v>2023</v>
      </c>
      <c r="X46" t="s">
        <v>592</v>
      </c>
      <c r="Y46" t="s">
        <v>594</v>
      </c>
      <c r="Z46">
        <v>2021</v>
      </c>
      <c r="AB46" t="s">
        <v>595</v>
      </c>
    </row>
    <row r="47" spans="1:28" x14ac:dyDescent="0.25">
      <c r="A47" t="s">
        <v>596</v>
      </c>
      <c r="B47" t="s">
        <v>597</v>
      </c>
      <c r="C47" t="s">
        <v>591</v>
      </c>
      <c r="D47" t="s">
        <v>346</v>
      </c>
      <c r="E47" t="s">
        <v>347</v>
      </c>
      <c r="F47" t="s">
        <v>348</v>
      </c>
      <c r="G47" t="s">
        <v>376</v>
      </c>
      <c r="H47" t="s">
        <v>377</v>
      </c>
      <c r="I47" t="s">
        <v>481</v>
      </c>
      <c r="J47" t="s">
        <v>482</v>
      </c>
      <c r="K47">
        <v>473.4</v>
      </c>
      <c r="L47">
        <v>1.5</v>
      </c>
      <c r="M47" t="s">
        <v>483</v>
      </c>
      <c r="N47">
        <v>50.370600000000003</v>
      </c>
      <c r="O47">
        <v>-100.5339</v>
      </c>
      <c r="P47">
        <v>554.29999999999995</v>
      </c>
      <c r="Q47">
        <v>3</v>
      </c>
      <c r="R47">
        <v>2021</v>
      </c>
      <c r="S47">
        <v>2023</v>
      </c>
      <c r="T47" t="s">
        <v>592</v>
      </c>
      <c r="U47" t="s">
        <v>598</v>
      </c>
      <c r="Z47">
        <v>2021</v>
      </c>
      <c r="AB47" t="s">
        <v>595</v>
      </c>
    </row>
    <row r="48" spans="1:28" x14ac:dyDescent="0.25">
      <c r="A48" t="s">
        <v>599</v>
      </c>
      <c r="B48" t="s">
        <v>600</v>
      </c>
      <c r="C48" t="s">
        <v>591</v>
      </c>
      <c r="D48" t="s">
        <v>346</v>
      </c>
      <c r="E48" t="s">
        <v>348</v>
      </c>
      <c r="F48" t="s">
        <v>348</v>
      </c>
      <c r="G48" t="s">
        <v>376</v>
      </c>
      <c r="H48" t="s">
        <v>377</v>
      </c>
      <c r="I48" t="s">
        <v>481</v>
      </c>
      <c r="J48" t="s">
        <v>482</v>
      </c>
      <c r="K48">
        <v>521.1</v>
      </c>
      <c r="L48">
        <v>3</v>
      </c>
      <c r="M48" t="s">
        <v>483</v>
      </c>
      <c r="N48">
        <v>50.1738</v>
      </c>
      <c r="O48">
        <v>-97.123099999999994</v>
      </c>
      <c r="P48">
        <v>255</v>
      </c>
      <c r="Q48">
        <v>0</v>
      </c>
      <c r="Z48">
        <v>2023</v>
      </c>
    </row>
    <row r="49" spans="1:28" x14ac:dyDescent="0.25">
      <c r="A49" t="s">
        <v>7</v>
      </c>
      <c r="B49" t="s">
        <v>601</v>
      </c>
      <c r="C49" t="s">
        <v>602</v>
      </c>
      <c r="D49" t="s">
        <v>346</v>
      </c>
      <c r="E49" t="s">
        <v>347</v>
      </c>
      <c r="F49" t="s">
        <v>347</v>
      </c>
      <c r="G49" t="s">
        <v>349</v>
      </c>
      <c r="H49" t="s">
        <v>350</v>
      </c>
      <c r="I49" t="s">
        <v>481</v>
      </c>
      <c r="J49" t="s">
        <v>482</v>
      </c>
      <c r="K49">
        <v>946</v>
      </c>
      <c r="L49">
        <v>6.7</v>
      </c>
      <c r="M49" t="s">
        <v>483</v>
      </c>
      <c r="N49">
        <v>43.640500000000003</v>
      </c>
      <c r="O49">
        <v>-80.412300000000002</v>
      </c>
      <c r="P49">
        <v>370</v>
      </c>
      <c r="Q49">
        <v>7</v>
      </c>
      <c r="R49">
        <v>2015</v>
      </c>
      <c r="S49">
        <v>2021</v>
      </c>
      <c r="T49" t="s">
        <v>603</v>
      </c>
      <c r="U49" t="s">
        <v>604</v>
      </c>
      <c r="V49">
        <v>2015</v>
      </c>
      <c r="W49">
        <v>2020</v>
      </c>
      <c r="X49" t="s">
        <v>605</v>
      </c>
      <c r="Y49" t="s">
        <v>606</v>
      </c>
      <c r="Z49">
        <v>2015</v>
      </c>
      <c r="AB49" t="s">
        <v>607</v>
      </c>
    </row>
    <row r="50" spans="1:28" x14ac:dyDescent="0.25">
      <c r="A50" t="s">
        <v>608</v>
      </c>
      <c r="B50" t="s">
        <v>601</v>
      </c>
      <c r="C50" t="s">
        <v>602</v>
      </c>
      <c r="D50" t="s">
        <v>346</v>
      </c>
      <c r="E50" t="s">
        <v>348</v>
      </c>
      <c r="F50" t="s">
        <v>348</v>
      </c>
      <c r="G50" t="s">
        <v>349</v>
      </c>
      <c r="H50" t="s">
        <v>350</v>
      </c>
      <c r="I50" t="s">
        <v>481</v>
      </c>
      <c r="J50" t="s">
        <v>482</v>
      </c>
      <c r="K50">
        <v>946</v>
      </c>
      <c r="L50">
        <v>6.7</v>
      </c>
      <c r="M50" t="s">
        <v>483</v>
      </c>
      <c r="N50">
        <v>43.6419</v>
      </c>
      <c r="O50">
        <v>-80.414000000000001</v>
      </c>
      <c r="P50">
        <v>370</v>
      </c>
      <c r="Q50">
        <v>0</v>
      </c>
      <c r="Z50">
        <v>2015</v>
      </c>
    </row>
    <row r="51" spans="1:28" x14ac:dyDescent="0.25">
      <c r="A51" t="s">
        <v>609</v>
      </c>
      <c r="B51" t="s">
        <v>610</v>
      </c>
      <c r="C51" t="s">
        <v>611</v>
      </c>
      <c r="D51" t="s">
        <v>346</v>
      </c>
      <c r="E51" t="s">
        <v>347</v>
      </c>
      <c r="F51" t="s">
        <v>347</v>
      </c>
      <c r="G51" t="s">
        <v>479</v>
      </c>
      <c r="H51" t="s">
        <v>480</v>
      </c>
      <c r="I51" t="s">
        <v>481</v>
      </c>
      <c r="J51" t="s">
        <v>482</v>
      </c>
      <c r="K51">
        <v>831</v>
      </c>
      <c r="L51">
        <v>1.3</v>
      </c>
      <c r="M51" t="s">
        <v>483</v>
      </c>
      <c r="N51">
        <v>48.216700000000003</v>
      </c>
      <c r="O51">
        <v>-82.155600000000007</v>
      </c>
      <c r="P51">
        <v>340</v>
      </c>
      <c r="Q51">
        <v>12</v>
      </c>
      <c r="R51">
        <v>2003</v>
      </c>
      <c r="S51">
        <v>2014</v>
      </c>
      <c r="T51" t="s">
        <v>612</v>
      </c>
      <c r="U51" t="s">
        <v>613</v>
      </c>
      <c r="V51">
        <v>2003</v>
      </c>
      <c r="W51">
        <v>2014</v>
      </c>
      <c r="X51" t="s">
        <v>612</v>
      </c>
      <c r="Y51" t="s">
        <v>614</v>
      </c>
      <c r="Z51">
        <v>2003</v>
      </c>
      <c r="AB51" t="s">
        <v>615</v>
      </c>
    </row>
    <row r="52" spans="1:28" x14ac:dyDescent="0.25">
      <c r="A52" t="s">
        <v>616</v>
      </c>
      <c r="B52" t="s">
        <v>617</v>
      </c>
      <c r="C52" t="s">
        <v>618</v>
      </c>
      <c r="D52" t="s">
        <v>346</v>
      </c>
      <c r="E52" t="s">
        <v>347</v>
      </c>
      <c r="F52" t="s">
        <v>347</v>
      </c>
      <c r="G52" t="s">
        <v>513</v>
      </c>
      <c r="H52" t="s">
        <v>514</v>
      </c>
      <c r="I52" t="s">
        <v>539</v>
      </c>
      <c r="J52" t="s">
        <v>540</v>
      </c>
      <c r="K52">
        <v>240.6</v>
      </c>
      <c r="L52">
        <v>-8.1999999999999993</v>
      </c>
      <c r="M52" t="s">
        <v>483</v>
      </c>
      <c r="N52">
        <v>68.320300000000003</v>
      </c>
      <c r="O52">
        <v>-133.5188</v>
      </c>
      <c r="P52">
        <v>80</v>
      </c>
      <c r="Q52">
        <v>1</v>
      </c>
      <c r="R52">
        <v>2018</v>
      </c>
      <c r="S52">
        <v>2018</v>
      </c>
      <c r="T52">
        <v>2018</v>
      </c>
      <c r="U52" t="s">
        <v>619</v>
      </c>
      <c r="V52">
        <v>2018</v>
      </c>
      <c r="W52">
        <v>2018</v>
      </c>
      <c r="X52">
        <v>2018</v>
      </c>
      <c r="Y52" t="s">
        <v>620</v>
      </c>
      <c r="Z52">
        <v>2013</v>
      </c>
      <c r="AB52" t="s">
        <v>621</v>
      </c>
    </row>
    <row r="53" spans="1:28" x14ac:dyDescent="0.25">
      <c r="A53" t="s">
        <v>622</v>
      </c>
      <c r="B53" t="s">
        <v>623</v>
      </c>
      <c r="C53" t="s">
        <v>489</v>
      </c>
      <c r="D53" t="s">
        <v>346</v>
      </c>
      <c r="E53" t="s">
        <v>348</v>
      </c>
      <c r="F53" t="s">
        <v>348</v>
      </c>
      <c r="G53" t="s">
        <v>376</v>
      </c>
      <c r="H53" t="s">
        <v>377</v>
      </c>
      <c r="I53" t="s">
        <v>481</v>
      </c>
      <c r="J53" t="s">
        <v>482</v>
      </c>
      <c r="K53">
        <v>680</v>
      </c>
      <c r="L53">
        <v>-1.1000000000000001</v>
      </c>
      <c r="M53" t="s">
        <v>483</v>
      </c>
      <c r="N53">
        <v>51.590200000000003</v>
      </c>
      <c r="O53">
        <v>-81.7684</v>
      </c>
      <c r="P53">
        <v>71</v>
      </c>
      <c r="Q53">
        <v>0</v>
      </c>
      <c r="Z53">
        <v>2009</v>
      </c>
    </row>
    <row r="54" spans="1:28" x14ac:dyDescent="0.25">
      <c r="A54" t="s">
        <v>624</v>
      </c>
      <c r="B54" t="s">
        <v>625</v>
      </c>
      <c r="C54" t="s">
        <v>626</v>
      </c>
      <c r="D54" t="s">
        <v>375</v>
      </c>
      <c r="E54" t="s">
        <v>347</v>
      </c>
      <c r="F54" t="s">
        <v>348</v>
      </c>
      <c r="G54" t="s">
        <v>367</v>
      </c>
      <c r="H54" t="s">
        <v>368</v>
      </c>
      <c r="I54" t="s">
        <v>481</v>
      </c>
      <c r="J54" t="s">
        <v>482</v>
      </c>
      <c r="K54">
        <v>398.4</v>
      </c>
      <c r="L54">
        <v>5.36</v>
      </c>
      <c r="M54" t="s">
        <v>483</v>
      </c>
      <c r="N54">
        <v>49.709299999999999</v>
      </c>
      <c r="O54">
        <v>-112.9402</v>
      </c>
      <c r="P54">
        <v>960</v>
      </c>
      <c r="Q54">
        <v>11</v>
      </c>
      <c r="R54">
        <v>1998</v>
      </c>
      <c r="S54">
        <v>2008</v>
      </c>
      <c r="T54" t="s">
        <v>627</v>
      </c>
      <c r="U54" t="s">
        <v>628</v>
      </c>
      <c r="Z54">
        <v>1998</v>
      </c>
      <c r="AB54" t="s">
        <v>629</v>
      </c>
    </row>
    <row r="55" spans="1:28" x14ac:dyDescent="0.25">
      <c r="A55" t="s">
        <v>8</v>
      </c>
      <c r="B55" t="s">
        <v>630</v>
      </c>
      <c r="C55" t="s">
        <v>631</v>
      </c>
      <c r="D55" t="s">
        <v>346</v>
      </c>
      <c r="E55" t="s">
        <v>347</v>
      </c>
      <c r="F55" t="s">
        <v>347</v>
      </c>
      <c r="G55" t="s">
        <v>513</v>
      </c>
      <c r="H55" t="s">
        <v>514</v>
      </c>
      <c r="I55" t="s">
        <v>632</v>
      </c>
      <c r="J55" t="s">
        <v>633</v>
      </c>
      <c r="K55">
        <v>570</v>
      </c>
      <c r="L55">
        <v>2</v>
      </c>
      <c r="M55" t="s">
        <v>483</v>
      </c>
      <c r="N55">
        <v>55.111899999999999</v>
      </c>
      <c r="O55">
        <v>-122.84139999999999</v>
      </c>
      <c r="P55">
        <v>751</v>
      </c>
      <c r="Q55">
        <v>16</v>
      </c>
      <c r="R55">
        <v>2007</v>
      </c>
      <c r="S55">
        <v>2022</v>
      </c>
      <c r="T55" t="s">
        <v>634</v>
      </c>
      <c r="U55" t="s">
        <v>635</v>
      </c>
      <c r="V55">
        <v>2007</v>
      </c>
      <c r="W55">
        <v>2022</v>
      </c>
      <c r="X55" t="s">
        <v>634</v>
      </c>
      <c r="Y55" t="s">
        <v>636</v>
      </c>
      <c r="Z55">
        <v>2007</v>
      </c>
      <c r="AB55" t="s">
        <v>637</v>
      </c>
    </row>
    <row r="56" spans="1:28" x14ac:dyDescent="0.25">
      <c r="A56" t="s">
        <v>638</v>
      </c>
      <c r="B56" t="s">
        <v>639</v>
      </c>
      <c r="C56" t="s">
        <v>640</v>
      </c>
      <c r="D56" t="s">
        <v>375</v>
      </c>
      <c r="E56" t="s">
        <v>348</v>
      </c>
      <c r="F56" t="s">
        <v>348</v>
      </c>
      <c r="G56" t="s">
        <v>376</v>
      </c>
      <c r="H56" t="s">
        <v>377</v>
      </c>
      <c r="I56" t="s">
        <v>481</v>
      </c>
      <c r="J56" t="s">
        <v>482</v>
      </c>
      <c r="K56">
        <v>905</v>
      </c>
      <c r="L56">
        <v>6.6</v>
      </c>
      <c r="M56" t="s">
        <v>483</v>
      </c>
      <c r="N56">
        <v>43.920099999999998</v>
      </c>
      <c r="O56">
        <v>-80.405199999999994</v>
      </c>
      <c r="P56">
        <v>485</v>
      </c>
      <c r="Q56">
        <v>0</v>
      </c>
      <c r="Z56">
        <v>2014</v>
      </c>
      <c r="AA56">
        <v>2014</v>
      </c>
    </row>
    <row r="57" spans="1:28" x14ac:dyDescent="0.25">
      <c r="A57" t="s">
        <v>641</v>
      </c>
      <c r="B57" t="s">
        <v>642</v>
      </c>
      <c r="C57" t="s">
        <v>643</v>
      </c>
      <c r="D57" t="s">
        <v>346</v>
      </c>
      <c r="E57" t="s">
        <v>347</v>
      </c>
      <c r="F57" t="s">
        <v>347</v>
      </c>
      <c r="G57" t="s">
        <v>349</v>
      </c>
      <c r="H57" t="s">
        <v>350</v>
      </c>
      <c r="I57" t="s">
        <v>481</v>
      </c>
      <c r="J57" t="s">
        <v>482</v>
      </c>
      <c r="K57">
        <v>514</v>
      </c>
      <c r="L57">
        <v>2.6</v>
      </c>
      <c r="M57" t="s">
        <v>483</v>
      </c>
      <c r="N57">
        <v>50.164499999999997</v>
      </c>
      <c r="O57">
        <v>-97.876199999999997</v>
      </c>
      <c r="P57">
        <v>261</v>
      </c>
      <c r="Q57">
        <v>3</v>
      </c>
      <c r="R57">
        <v>2009</v>
      </c>
      <c r="S57">
        <v>2011</v>
      </c>
      <c r="T57" t="s">
        <v>644</v>
      </c>
      <c r="U57" t="s">
        <v>645</v>
      </c>
      <c r="V57">
        <v>2009</v>
      </c>
      <c r="W57">
        <v>2011</v>
      </c>
      <c r="X57" t="s">
        <v>644</v>
      </c>
      <c r="Y57" t="s">
        <v>646</v>
      </c>
      <c r="Z57">
        <v>2009</v>
      </c>
      <c r="AA57">
        <v>2011</v>
      </c>
      <c r="AB57" t="s">
        <v>647</v>
      </c>
    </row>
    <row r="58" spans="1:28" x14ac:dyDescent="0.25">
      <c r="A58" t="s">
        <v>648</v>
      </c>
      <c r="B58" t="s">
        <v>649</v>
      </c>
      <c r="C58" t="s">
        <v>643</v>
      </c>
      <c r="D58" t="s">
        <v>346</v>
      </c>
      <c r="E58" t="s">
        <v>347</v>
      </c>
      <c r="F58" t="s">
        <v>347</v>
      </c>
      <c r="G58" t="s">
        <v>349</v>
      </c>
      <c r="H58" t="s">
        <v>350</v>
      </c>
      <c r="I58" t="s">
        <v>481</v>
      </c>
      <c r="J58" t="s">
        <v>482</v>
      </c>
      <c r="K58">
        <v>514</v>
      </c>
      <c r="L58">
        <v>2.6</v>
      </c>
      <c r="M58" t="s">
        <v>483</v>
      </c>
      <c r="N58">
        <v>50.170999999999999</v>
      </c>
      <c r="O58">
        <v>-97.876199999999997</v>
      </c>
      <c r="P58">
        <v>261</v>
      </c>
      <c r="Q58">
        <v>3</v>
      </c>
      <c r="R58">
        <v>2009</v>
      </c>
      <c r="S58">
        <v>2011</v>
      </c>
      <c r="T58" t="s">
        <v>644</v>
      </c>
      <c r="U58" t="s">
        <v>650</v>
      </c>
      <c r="V58">
        <v>2009</v>
      </c>
      <c r="W58">
        <v>2011</v>
      </c>
      <c r="X58" t="s">
        <v>644</v>
      </c>
      <c r="Y58" t="s">
        <v>651</v>
      </c>
      <c r="Z58">
        <v>2009</v>
      </c>
      <c r="AA58">
        <v>2011</v>
      </c>
      <c r="AB58" t="s">
        <v>647</v>
      </c>
    </row>
    <row r="59" spans="1:28" x14ac:dyDescent="0.25">
      <c r="A59" t="s">
        <v>652</v>
      </c>
      <c r="B59" t="s">
        <v>653</v>
      </c>
      <c r="C59" t="s">
        <v>643</v>
      </c>
      <c r="D59" t="s">
        <v>346</v>
      </c>
      <c r="E59" t="s">
        <v>347</v>
      </c>
      <c r="F59" t="s">
        <v>347</v>
      </c>
      <c r="G59" t="s">
        <v>367</v>
      </c>
      <c r="H59" t="s">
        <v>368</v>
      </c>
      <c r="I59" t="s">
        <v>481</v>
      </c>
      <c r="J59" t="s">
        <v>482</v>
      </c>
      <c r="K59">
        <v>514</v>
      </c>
      <c r="L59">
        <v>2.6</v>
      </c>
      <c r="M59" t="s">
        <v>483</v>
      </c>
      <c r="N59">
        <v>50.177399999999999</v>
      </c>
      <c r="O59">
        <v>-97.868600000000001</v>
      </c>
      <c r="P59">
        <v>261</v>
      </c>
      <c r="Q59">
        <v>3</v>
      </c>
      <c r="R59">
        <v>2009</v>
      </c>
      <c r="S59">
        <v>2011</v>
      </c>
      <c r="T59" t="s">
        <v>644</v>
      </c>
      <c r="U59" t="s">
        <v>654</v>
      </c>
      <c r="V59">
        <v>2009</v>
      </c>
      <c r="W59">
        <v>2011</v>
      </c>
      <c r="X59" t="s">
        <v>644</v>
      </c>
      <c r="Y59" t="s">
        <v>655</v>
      </c>
      <c r="Z59">
        <v>2009</v>
      </c>
      <c r="AA59">
        <v>2011</v>
      </c>
      <c r="AB59" t="s">
        <v>647</v>
      </c>
    </row>
    <row r="60" spans="1:28" x14ac:dyDescent="0.25">
      <c r="A60" t="s">
        <v>656</v>
      </c>
      <c r="B60" t="s">
        <v>657</v>
      </c>
      <c r="C60" t="s">
        <v>658</v>
      </c>
      <c r="D60" t="s">
        <v>346</v>
      </c>
      <c r="E60" t="s">
        <v>347</v>
      </c>
      <c r="F60" t="s">
        <v>348</v>
      </c>
      <c r="G60" t="s">
        <v>513</v>
      </c>
      <c r="H60" t="s">
        <v>514</v>
      </c>
      <c r="I60" t="s">
        <v>539</v>
      </c>
      <c r="J60" t="s">
        <v>540</v>
      </c>
      <c r="K60">
        <v>520</v>
      </c>
      <c r="L60">
        <v>-3.2</v>
      </c>
      <c r="M60" t="s">
        <v>483</v>
      </c>
      <c r="N60">
        <v>55.879600000000003</v>
      </c>
      <c r="O60">
        <v>-98.480800000000002</v>
      </c>
      <c r="P60">
        <v>259</v>
      </c>
      <c r="Q60">
        <v>15</v>
      </c>
      <c r="R60">
        <v>1994</v>
      </c>
      <c r="S60">
        <v>2008</v>
      </c>
      <c r="T60" t="s">
        <v>659</v>
      </c>
      <c r="U60" t="s">
        <v>660</v>
      </c>
      <c r="Z60">
        <v>1994</v>
      </c>
      <c r="AA60">
        <v>2008</v>
      </c>
      <c r="AB60" t="s">
        <v>661</v>
      </c>
    </row>
    <row r="61" spans="1:28" x14ac:dyDescent="0.25">
      <c r="A61" t="s">
        <v>662</v>
      </c>
      <c r="B61" t="s">
        <v>663</v>
      </c>
      <c r="C61" t="s">
        <v>580</v>
      </c>
      <c r="D61" t="s">
        <v>346</v>
      </c>
      <c r="E61" t="s">
        <v>347</v>
      </c>
      <c r="F61" t="s">
        <v>348</v>
      </c>
      <c r="G61" t="s">
        <v>376</v>
      </c>
      <c r="H61" t="s">
        <v>377</v>
      </c>
      <c r="I61" t="s">
        <v>481</v>
      </c>
      <c r="J61" t="s">
        <v>482</v>
      </c>
      <c r="K61">
        <v>943</v>
      </c>
      <c r="L61">
        <v>6</v>
      </c>
      <c r="M61" t="s">
        <v>483</v>
      </c>
      <c r="N61">
        <v>45.409399999999998</v>
      </c>
      <c r="O61">
        <v>-75.518600000000006</v>
      </c>
      <c r="P61">
        <v>70</v>
      </c>
      <c r="Q61">
        <v>23</v>
      </c>
      <c r="R61">
        <v>1998</v>
      </c>
      <c r="S61">
        <v>2020</v>
      </c>
      <c r="T61" t="s">
        <v>664</v>
      </c>
      <c r="U61" t="s">
        <v>665</v>
      </c>
      <c r="Z61">
        <v>1998</v>
      </c>
      <c r="AB61" t="s">
        <v>666</v>
      </c>
    </row>
    <row r="62" spans="1:28" x14ac:dyDescent="0.25">
      <c r="A62" t="s">
        <v>667</v>
      </c>
      <c r="B62" t="s">
        <v>668</v>
      </c>
      <c r="C62" t="s">
        <v>669</v>
      </c>
      <c r="D62" t="s">
        <v>375</v>
      </c>
      <c r="E62" t="s">
        <v>347</v>
      </c>
      <c r="F62" t="s">
        <v>348</v>
      </c>
      <c r="G62" t="s">
        <v>367</v>
      </c>
      <c r="H62" t="s">
        <v>368</v>
      </c>
      <c r="I62" t="s">
        <v>670</v>
      </c>
      <c r="J62" t="s">
        <v>671</v>
      </c>
      <c r="K62">
        <v>325</v>
      </c>
      <c r="M62" t="s">
        <v>483</v>
      </c>
      <c r="N62">
        <v>50.867100000000001</v>
      </c>
      <c r="O62">
        <v>-111.9045</v>
      </c>
      <c r="P62">
        <v>712</v>
      </c>
      <c r="Q62">
        <v>5</v>
      </c>
      <c r="R62">
        <v>2012</v>
      </c>
      <c r="S62">
        <v>2016</v>
      </c>
      <c r="T62" t="s">
        <v>672</v>
      </c>
      <c r="U62" t="s">
        <v>673</v>
      </c>
      <c r="Z62">
        <v>2012</v>
      </c>
      <c r="AB62" t="s">
        <v>674</v>
      </c>
    </row>
    <row r="63" spans="1:28" x14ac:dyDescent="0.25">
      <c r="A63" t="s">
        <v>675</v>
      </c>
      <c r="B63" t="s">
        <v>676</v>
      </c>
      <c r="C63" t="s">
        <v>669</v>
      </c>
      <c r="D63" t="s">
        <v>375</v>
      </c>
      <c r="E63" t="s">
        <v>347</v>
      </c>
      <c r="F63" t="s">
        <v>348</v>
      </c>
      <c r="G63" t="s">
        <v>367</v>
      </c>
      <c r="H63" t="s">
        <v>368</v>
      </c>
      <c r="I63" t="s">
        <v>670</v>
      </c>
      <c r="J63" t="s">
        <v>671</v>
      </c>
      <c r="K63">
        <v>325</v>
      </c>
      <c r="M63" t="s">
        <v>483</v>
      </c>
      <c r="N63">
        <v>50.9056</v>
      </c>
      <c r="O63">
        <v>-111.8823</v>
      </c>
      <c r="P63">
        <v>700</v>
      </c>
      <c r="Q63">
        <v>5</v>
      </c>
      <c r="R63">
        <v>2012</v>
      </c>
      <c r="S63">
        <v>2016</v>
      </c>
      <c r="T63" t="s">
        <v>672</v>
      </c>
      <c r="U63" t="s">
        <v>677</v>
      </c>
      <c r="Z63">
        <v>2012</v>
      </c>
      <c r="AB63" t="s">
        <v>674</v>
      </c>
    </row>
    <row r="64" spans="1:28" x14ac:dyDescent="0.25">
      <c r="A64" t="s">
        <v>678</v>
      </c>
      <c r="B64" t="s">
        <v>679</v>
      </c>
      <c r="C64" t="s">
        <v>553</v>
      </c>
      <c r="D64" t="s">
        <v>346</v>
      </c>
      <c r="E64" t="s">
        <v>348</v>
      </c>
      <c r="F64" t="s">
        <v>348</v>
      </c>
      <c r="G64" t="s">
        <v>367</v>
      </c>
      <c r="H64" t="s">
        <v>368</v>
      </c>
      <c r="I64" t="s">
        <v>680</v>
      </c>
      <c r="J64" t="s">
        <v>681</v>
      </c>
      <c r="K64">
        <v>173</v>
      </c>
      <c r="L64">
        <v>-14.5</v>
      </c>
      <c r="M64" t="s">
        <v>483</v>
      </c>
      <c r="N64">
        <v>72.669499999999999</v>
      </c>
      <c r="O64">
        <v>-77.998099999999994</v>
      </c>
      <c r="P64">
        <v>15</v>
      </c>
      <c r="Q64">
        <v>0</v>
      </c>
      <c r="Z64">
        <v>2024</v>
      </c>
    </row>
    <row r="65" spans="1:28" x14ac:dyDescent="0.25">
      <c r="A65" t="s">
        <v>682</v>
      </c>
      <c r="B65" t="s">
        <v>683</v>
      </c>
      <c r="C65" t="s">
        <v>684</v>
      </c>
      <c r="D65" t="s">
        <v>346</v>
      </c>
      <c r="E65" t="s">
        <v>347</v>
      </c>
      <c r="F65" t="s">
        <v>348</v>
      </c>
      <c r="G65" t="s">
        <v>513</v>
      </c>
      <c r="H65" t="s">
        <v>514</v>
      </c>
      <c r="I65" t="s">
        <v>481</v>
      </c>
      <c r="J65" t="s">
        <v>482</v>
      </c>
      <c r="K65">
        <v>1102.7</v>
      </c>
      <c r="L65">
        <v>7.09</v>
      </c>
      <c r="M65" t="s">
        <v>483</v>
      </c>
      <c r="N65">
        <v>46.472200000000001</v>
      </c>
      <c r="O65">
        <v>-67.099999999999994</v>
      </c>
      <c r="P65">
        <v>341</v>
      </c>
      <c r="Q65">
        <v>3</v>
      </c>
      <c r="R65">
        <v>2003</v>
      </c>
      <c r="S65">
        <v>2005</v>
      </c>
      <c r="T65" t="s">
        <v>685</v>
      </c>
      <c r="U65" t="s">
        <v>686</v>
      </c>
      <c r="Z65">
        <v>2003</v>
      </c>
      <c r="AB65" t="s">
        <v>687</v>
      </c>
    </row>
    <row r="66" spans="1:28" x14ac:dyDescent="0.25">
      <c r="A66" t="s">
        <v>688</v>
      </c>
      <c r="B66" t="s">
        <v>689</v>
      </c>
      <c r="C66" t="s">
        <v>467</v>
      </c>
      <c r="D66" t="s">
        <v>346</v>
      </c>
      <c r="E66" t="s">
        <v>347</v>
      </c>
      <c r="F66" t="s">
        <v>347</v>
      </c>
      <c r="G66" t="s">
        <v>513</v>
      </c>
      <c r="H66" t="s">
        <v>514</v>
      </c>
      <c r="I66" t="s">
        <v>539</v>
      </c>
      <c r="J66" t="s">
        <v>540</v>
      </c>
      <c r="K66">
        <v>500.29</v>
      </c>
      <c r="L66">
        <v>-2.89</v>
      </c>
      <c r="M66" t="s">
        <v>483</v>
      </c>
      <c r="N66">
        <v>55.879199999999997</v>
      </c>
      <c r="O66">
        <v>-98.483900000000006</v>
      </c>
      <c r="P66">
        <v>260</v>
      </c>
      <c r="Q66">
        <v>5</v>
      </c>
      <c r="R66">
        <v>2001</v>
      </c>
      <c r="S66">
        <v>2005</v>
      </c>
      <c r="T66" t="s">
        <v>690</v>
      </c>
      <c r="U66" t="s">
        <v>691</v>
      </c>
      <c r="V66">
        <v>2001</v>
      </c>
      <c r="W66">
        <v>2005</v>
      </c>
      <c r="X66" t="s">
        <v>690</v>
      </c>
      <c r="Y66" t="s">
        <v>692</v>
      </c>
      <c r="Z66">
        <v>2002</v>
      </c>
      <c r="AA66">
        <v>2005</v>
      </c>
      <c r="AB66" t="s">
        <v>693</v>
      </c>
    </row>
    <row r="67" spans="1:28" x14ac:dyDescent="0.25">
      <c r="A67" t="s">
        <v>694</v>
      </c>
      <c r="B67" t="s">
        <v>695</v>
      </c>
      <c r="C67" t="s">
        <v>467</v>
      </c>
      <c r="D67" t="s">
        <v>346</v>
      </c>
      <c r="E67" t="s">
        <v>347</v>
      </c>
      <c r="F67" t="s">
        <v>347</v>
      </c>
      <c r="G67" t="s">
        <v>513</v>
      </c>
      <c r="H67" t="s">
        <v>514</v>
      </c>
      <c r="I67" t="s">
        <v>539</v>
      </c>
      <c r="J67" t="s">
        <v>540</v>
      </c>
      <c r="K67">
        <v>499.82</v>
      </c>
      <c r="L67">
        <v>-2.88</v>
      </c>
      <c r="M67" t="s">
        <v>483</v>
      </c>
      <c r="N67">
        <v>55.905799999999999</v>
      </c>
      <c r="O67">
        <v>-98.524699999999996</v>
      </c>
      <c r="P67">
        <v>260</v>
      </c>
      <c r="Q67">
        <v>5</v>
      </c>
      <c r="R67">
        <v>2001</v>
      </c>
      <c r="S67">
        <v>2005</v>
      </c>
      <c r="T67" t="s">
        <v>690</v>
      </c>
      <c r="U67" t="s">
        <v>696</v>
      </c>
      <c r="V67">
        <v>2001</v>
      </c>
      <c r="W67">
        <v>2005</v>
      </c>
      <c r="X67" t="s">
        <v>690</v>
      </c>
      <c r="Y67" t="s">
        <v>697</v>
      </c>
      <c r="Z67">
        <v>2001</v>
      </c>
      <c r="AA67">
        <v>2005</v>
      </c>
      <c r="AB67" t="s">
        <v>693</v>
      </c>
    </row>
    <row r="68" spans="1:28" x14ac:dyDescent="0.25">
      <c r="A68" t="s">
        <v>698</v>
      </c>
      <c r="B68" t="s">
        <v>699</v>
      </c>
      <c r="C68" t="s">
        <v>467</v>
      </c>
      <c r="D68" t="s">
        <v>346</v>
      </c>
      <c r="E68" t="s">
        <v>347</v>
      </c>
      <c r="F68" t="s">
        <v>347</v>
      </c>
      <c r="G68" t="s">
        <v>513</v>
      </c>
      <c r="H68" t="s">
        <v>514</v>
      </c>
      <c r="I68" t="s">
        <v>539</v>
      </c>
      <c r="J68" t="s">
        <v>540</v>
      </c>
      <c r="K68">
        <v>502.22</v>
      </c>
      <c r="L68">
        <v>-2.87</v>
      </c>
      <c r="M68" t="s">
        <v>483</v>
      </c>
      <c r="N68">
        <v>55.911700000000003</v>
      </c>
      <c r="O68">
        <v>-98.382199999999997</v>
      </c>
      <c r="P68">
        <v>260</v>
      </c>
      <c r="Q68">
        <v>5</v>
      </c>
      <c r="R68">
        <v>2001</v>
      </c>
      <c r="S68">
        <v>2005</v>
      </c>
      <c r="T68" t="s">
        <v>690</v>
      </c>
      <c r="U68" t="s">
        <v>700</v>
      </c>
      <c r="V68">
        <v>2001</v>
      </c>
      <c r="W68">
        <v>2005</v>
      </c>
      <c r="X68" t="s">
        <v>690</v>
      </c>
      <c r="Y68" t="s">
        <v>701</v>
      </c>
      <c r="Z68">
        <v>2001</v>
      </c>
      <c r="AA68">
        <v>2005</v>
      </c>
      <c r="AB68" t="s">
        <v>693</v>
      </c>
    </row>
    <row r="69" spans="1:28" x14ac:dyDescent="0.25">
      <c r="A69" t="s">
        <v>702</v>
      </c>
      <c r="B69" t="s">
        <v>703</v>
      </c>
      <c r="C69" t="s">
        <v>467</v>
      </c>
      <c r="D69" t="s">
        <v>346</v>
      </c>
      <c r="E69" t="s">
        <v>347</v>
      </c>
      <c r="F69" t="s">
        <v>347</v>
      </c>
      <c r="G69" t="s">
        <v>513</v>
      </c>
      <c r="H69" t="s">
        <v>514</v>
      </c>
      <c r="I69" t="s">
        <v>539</v>
      </c>
      <c r="J69" t="s">
        <v>540</v>
      </c>
      <c r="K69">
        <v>502.22</v>
      </c>
      <c r="L69">
        <v>-2.87</v>
      </c>
      <c r="M69" t="s">
        <v>483</v>
      </c>
      <c r="N69">
        <v>55.914400000000001</v>
      </c>
      <c r="O69">
        <v>-98.380600000000001</v>
      </c>
      <c r="P69">
        <v>260</v>
      </c>
      <c r="Q69">
        <v>5</v>
      </c>
      <c r="R69">
        <v>2001</v>
      </c>
      <c r="S69">
        <v>2005</v>
      </c>
      <c r="T69" t="s">
        <v>690</v>
      </c>
      <c r="U69" t="s">
        <v>704</v>
      </c>
      <c r="V69">
        <v>2001</v>
      </c>
      <c r="W69">
        <v>2005</v>
      </c>
      <c r="X69" t="s">
        <v>690</v>
      </c>
      <c r="Y69" t="s">
        <v>705</v>
      </c>
      <c r="Z69">
        <v>2002</v>
      </c>
      <c r="AA69">
        <v>2004</v>
      </c>
      <c r="AB69" t="s">
        <v>693</v>
      </c>
    </row>
    <row r="70" spans="1:28" x14ac:dyDescent="0.25">
      <c r="A70" t="s">
        <v>706</v>
      </c>
      <c r="B70" t="s">
        <v>707</v>
      </c>
      <c r="C70" t="s">
        <v>467</v>
      </c>
      <c r="D70" t="s">
        <v>346</v>
      </c>
      <c r="E70" t="s">
        <v>347</v>
      </c>
      <c r="F70" t="s">
        <v>347</v>
      </c>
      <c r="G70" t="s">
        <v>513</v>
      </c>
      <c r="H70" t="s">
        <v>514</v>
      </c>
      <c r="I70" t="s">
        <v>539</v>
      </c>
      <c r="J70" t="s">
        <v>540</v>
      </c>
      <c r="K70">
        <v>500.34</v>
      </c>
      <c r="L70">
        <v>-2.86</v>
      </c>
      <c r="M70" t="s">
        <v>483</v>
      </c>
      <c r="N70">
        <v>55.863100000000003</v>
      </c>
      <c r="O70">
        <v>-98.484999999999999</v>
      </c>
      <c r="P70">
        <v>260</v>
      </c>
      <c r="Q70">
        <v>5</v>
      </c>
      <c r="R70">
        <v>2001</v>
      </c>
      <c r="S70">
        <v>2005</v>
      </c>
      <c r="T70" t="s">
        <v>690</v>
      </c>
      <c r="U70" t="s">
        <v>708</v>
      </c>
      <c r="V70">
        <v>2001</v>
      </c>
      <c r="W70">
        <v>2005</v>
      </c>
      <c r="X70" t="s">
        <v>690</v>
      </c>
      <c r="Y70" t="s">
        <v>709</v>
      </c>
      <c r="Z70">
        <v>2001</v>
      </c>
      <c r="AA70">
        <v>2005</v>
      </c>
      <c r="AB70" t="s">
        <v>693</v>
      </c>
    </row>
    <row r="71" spans="1:28" x14ac:dyDescent="0.25">
      <c r="A71" t="s">
        <v>710</v>
      </c>
      <c r="B71" t="s">
        <v>711</v>
      </c>
      <c r="C71" t="s">
        <v>467</v>
      </c>
      <c r="D71" t="s">
        <v>346</v>
      </c>
      <c r="E71" t="s">
        <v>347</v>
      </c>
      <c r="F71" t="s">
        <v>347</v>
      </c>
      <c r="G71" t="s">
        <v>581</v>
      </c>
      <c r="H71" t="s">
        <v>582</v>
      </c>
      <c r="I71" t="s">
        <v>539</v>
      </c>
      <c r="J71" t="s">
        <v>540</v>
      </c>
      <c r="K71">
        <v>495.37</v>
      </c>
      <c r="L71">
        <v>-3.08</v>
      </c>
      <c r="M71" t="s">
        <v>483</v>
      </c>
      <c r="N71">
        <v>55.916699999999999</v>
      </c>
      <c r="O71">
        <v>-98.964399999999998</v>
      </c>
      <c r="P71">
        <v>244</v>
      </c>
      <c r="Q71">
        <v>5</v>
      </c>
      <c r="R71">
        <v>2001</v>
      </c>
      <c r="S71">
        <v>2005</v>
      </c>
      <c r="T71" t="s">
        <v>690</v>
      </c>
      <c r="U71" t="s">
        <v>712</v>
      </c>
      <c r="V71">
        <v>2001</v>
      </c>
      <c r="W71">
        <v>2005</v>
      </c>
      <c r="X71" t="s">
        <v>690</v>
      </c>
      <c r="Y71" t="s">
        <v>713</v>
      </c>
      <c r="Z71">
        <v>2001</v>
      </c>
      <c r="AA71">
        <v>2005</v>
      </c>
      <c r="AB71" t="s">
        <v>693</v>
      </c>
    </row>
    <row r="72" spans="1:28" x14ac:dyDescent="0.25">
      <c r="A72" t="s">
        <v>714</v>
      </c>
      <c r="B72" t="s">
        <v>715</v>
      </c>
      <c r="C72" t="s">
        <v>467</v>
      </c>
      <c r="D72" t="s">
        <v>346</v>
      </c>
      <c r="E72" t="s">
        <v>347</v>
      </c>
      <c r="F72" t="s">
        <v>347</v>
      </c>
      <c r="G72" t="s">
        <v>581</v>
      </c>
      <c r="H72" t="s">
        <v>582</v>
      </c>
      <c r="I72" t="s">
        <v>539</v>
      </c>
      <c r="J72" t="s">
        <v>540</v>
      </c>
      <c r="K72">
        <v>483.27</v>
      </c>
      <c r="L72">
        <v>-3.52</v>
      </c>
      <c r="M72" t="s">
        <v>483</v>
      </c>
      <c r="N72">
        <v>56.635800000000003</v>
      </c>
      <c r="O72">
        <v>-99.948300000000003</v>
      </c>
      <c r="P72">
        <v>297</v>
      </c>
      <c r="Q72">
        <v>5</v>
      </c>
      <c r="R72">
        <v>2001</v>
      </c>
      <c r="S72">
        <v>2005</v>
      </c>
      <c r="T72" t="s">
        <v>690</v>
      </c>
      <c r="U72" t="s">
        <v>716</v>
      </c>
      <c r="V72">
        <v>2001</v>
      </c>
      <c r="W72">
        <v>2005</v>
      </c>
      <c r="X72" t="s">
        <v>690</v>
      </c>
      <c r="Z72">
        <v>2002</v>
      </c>
      <c r="AA72">
        <v>2005</v>
      </c>
      <c r="AB72" t="s">
        <v>693</v>
      </c>
    </row>
    <row r="73" spans="1:28" x14ac:dyDescent="0.25">
      <c r="A73" t="s">
        <v>717</v>
      </c>
      <c r="B73" t="s">
        <v>718</v>
      </c>
      <c r="C73" t="s">
        <v>467</v>
      </c>
      <c r="D73" t="s">
        <v>375</v>
      </c>
      <c r="E73" t="s">
        <v>347</v>
      </c>
      <c r="F73" t="s">
        <v>348</v>
      </c>
      <c r="G73" t="s">
        <v>513</v>
      </c>
      <c r="H73" t="s">
        <v>514</v>
      </c>
      <c r="I73" t="s">
        <v>539</v>
      </c>
      <c r="J73" t="s">
        <v>540</v>
      </c>
      <c r="K73">
        <v>506.69</v>
      </c>
      <c r="L73">
        <v>-2.71</v>
      </c>
      <c r="M73" t="s">
        <v>483</v>
      </c>
      <c r="N73">
        <v>55.898099999999999</v>
      </c>
      <c r="O73">
        <v>-98.216099999999997</v>
      </c>
      <c r="P73">
        <v>274</v>
      </c>
      <c r="Q73">
        <v>5</v>
      </c>
      <c r="R73">
        <v>2001</v>
      </c>
      <c r="S73">
        <v>2005</v>
      </c>
      <c r="T73" t="s">
        <v>690</v>
      </c>
      <c r="U73" t="s">
        <v>719</v>
      </c>
      <c r="Z73">
        <v>2001</v>
      </c>
      <c r="AA73">
        <v>2005</v>
      </c>
      <c r="AB73" t="s">
        <v>720</v>
      </c>
    </row>
    <row r="74" spans="1:28" x14ac:dyDescent="0.25">
      <c r="A74" t="s">
        <v>721</v>
      </c>
      <c r="B74" t="s">
        <v>722</v>
      </c>
      <c r="C74" t="s">
        <v>723</v>
      </c>
      <c r="D74" t="s">
        <v>346</v>
      </c>
      <c r="E74" t="s">
        <v>347</v>
      </c>
      <c r="F74" t="s">
        <v>348</v>
      </c>
      <c r="G74" t="s">
        <v>428</v>
      </c>
      <c r="H74" t="s">
        <v>429</v>
      </c>
      <c r="I74" t="s">
        <v>539</v>
      </c>
      <c r="J74" t="s">
        <v>540</v>
      </c>
      <c r="K74">
        <v>428.53</v>
      </c>
      <c r="L74">
        <v>0.34</v>
      </c>
      <c r="M74" t="s">
        <v>483</v>
      </c>
      <c r="N74">
        <v>53.628900000000002</v>
      </c>
      <c r="O74">
        <v>-106.1978</v>
      </c>
      <c r="P74">
        <v>530</v>
      </c>
      <c r="Q74">
        <v>15</v>
      </c>
      <c r="R74">
        <v>1996</v>
      </c>
      <c r="S74">
        <v>2010</v>
      </c>
      <c r="T74" t="s">
        <v>515</v>
      </c>
      <c r="U74" t="s">
        <v>724</v>
      </c>
      <c r="Z74">
        <v>1997</v>
      </c>
      <c r="AB74" t="s">
        <v>720</v>
      </c>
    </row>
    <row r="75" spans="1:28" x14ac:dyDescent="0.25">
      <c r="A75" t="s">
        <v>725</v>
      </c>
      <c r="B75" t="s">
        <v>726</v>
      </c>
      <c r="C75" t="s">
        <v>727</v>
      </c>
      <c r="D75" t="s">
        <v>346</v>
      </c>
      <c r="E75" t="s">
        <v>347</v>
      </c>
      <c r="F75" t="s">
        <v>348</v>
      </c>
      <c r="G75" t="s">
        <v>513</v>
      </c>
      <c r="H75" t="s">
        <v>514</v>
      </c>
      <c r="I75" t="s">
        <v>539</v>
      </c>
      <c r="J75" t="s">
        <v>540</v>
      </c>
      <c r="K75">
        <v>405.6</v>
      </c>
      <c r="L75">
        <v>0.79</v>
      </c>
      <c r="M75" t="s">
        <v>483</v>
      </c>
      <c r="N75">
        <v>53.987200000000001</v>
      </c>
      <c r="O75">
        <v>-105.1178</v>
      </c>
      <c r="P75">
        <v>628.94000000000005</v>
      </c>
      <c r="Q75">
        <v>14</v>
      </c>
      <c r="R75">
        <v>1997</v>
      </c>
      <c r="S75">
        <v>2010</v>
      </c>
      <c r="T75" t="s">
        <v>728</v>
      </c>
      <c r="U75" t="s">
        <v>729</v>
      </c>
      <c r="Z75">
        <v>1999</v>
      </c>
      <c r="AB75" t="s">
        <v>720</v>
      </c>
    </row>
    <row r="76" spans="1:28" x14ac:dyDescent="0.25">
      <c r="A76" t="s">
        <v>730</v>
      </c>
      <c r="B76" t="s">
        <v>731</v>
      </c>
      <c r="C76" t="s">
        <v>727</v>
      </c>
      <c r="D76" t="s">
        <v>346</v>
      </c>
      <c r="E76" t="s">
        <v>347</v>
      </c>
      <c r="F76" t="s">
        <v>348</v>
      </c>
      <c r="G76" t="s">
        <v>513</v>
      </c>
      <c r="H76" t="s">
        <v>514</v>
      </c>
      <c r="I76" t="s">
        <v>539</v>
      </c>
      <c r="J76" t="s">
        <v>540</v>
      </c>
      <c r="K76">
        <v>430.5</v>
      </c>
      <c r="L76">
        <v>0.12</v>
      </c>
      <c r="M76" t="s">
        <v>483</v>
      </c>
      <c r="N76">
        <v>53.9163</v>
      </c>
      <c r="O76">
        <v>-104.69199999999999</v>
      </c>
      <c r="P76">
        <v>579</v>
      </c>
      <c r="Q76">
        <v>15</v>
      </c>
      <c r="R76">
        <v>1996</v>
      </c>
      <c r="S76">
        <v>2010</v>
      </c>
      <c r="T76" t="s">
        <v>515</v>
      </c>
      <c r="U76" t="s">
        <v>732</v>
      </c>
      <c r="Z76">
        <v>1999</v>
      </c>
      <c r="AB76" t="s">
        <v>733</v>
      </c>
    </row>
    <row r="77" spans="1:28" x14ac:dyDescent="0.25">
      <c r="A77" t="s">
        <v>734</v>
      </c>
      <c r="B77" t="s">
        <v>735</v>
      </c>
      <c r="C77" t="s">
        <v>736</v>
      </c>
      <c r="D77" t="s">
        <v>346</v>
      </c>
      <c r="E77" t="s">
        <v>347</v>
      </c>
      <c r="F77" t="s">
        <v>347</v>
      </c>
      <c r="G77" t="s">
        <v>479</v>
      </c>
      <c r="H77" t="s">
        <v>480</v>
      </c>
      <c r="M77" t="s">
        <v>483</v>
      </c>
      <c r="N77">
        <v>49.759799999999998</v>
      </c>
      <c r="O77">
        <v>-74.571100000000001</v>
      </c>
      <c r="Q77">
        <v>4</v>
      </c>
      <c r="R77">
        <v>2007</v>
      </c>
      <c r="S77">
        <v>2010</v>
      </c>
      <c r="T77" t="s">
        <v>737</v>
      </c>
      <c r="U77" t="s">
        <v>738</v>
      </c>
      <c r="V77">
        <v>2007</v>
      </c>
      <c r="W77">
        <v>2010</v>
      </c>
      <c r="X77" t="s">
        <v>737</v>
      </c>
      <c r="Y77" t="s">
        <v>739</v>
      </c>
      <c r="Z77">
        <v>2007</v>
      </c>
      <c r="AB77" t="s">
        <v>740</v>
      </c>
    </row>
    <row r="78" spans="1:28" x14ac:dyDescent="0.25">
      <c r="A78" t="s">
        <v>741</v>
      </c>
      <c r="B78" t="s">
        <v>742</v>
      </c>
      <c r="C78" t="s">
        <v>743</v>
      </c>
      <c r="D78" t="s">
        <v>375</v>
      </c>
      <c r="E78" t="s">
        <v>347</v>
      </c>
      <c r="F78" t="s">
        <v>348</v>
      </c>
      <c r="G78" t="s">
        <v>513</v>
      </c>
      <c r="H78" t="s">
        <v>514</v>
      </c>
      <c r="I78" t="s">
        <v>539</v>
      </c>
      <c r="J78" t="s">
        <v>540</v>
      </c>
      <c r="K78">
        <v>949.78</v>
      </c>
      <c r="L78">
        <v>0.13</v>
      </c>
      <c r="M78" t="s">
        <v>483</v>
      </c>
      <c r="N78">
        <v>49.267099999999999</v>
      </c>
      <c r="O78">
        <v>-74.036500000000004</v>
      </c>
      <c r="P78">
        <v>392.3</v>
      </c>
      <c r="Q78">
        <v>10</v>
      </c>
      <c r="R78">
        <v>2001</v>
      </c>
      <c r="S78">
        <v>2010</v>
      </c>
      <c r="T78" t="s">
        <v>744</v>
      </c>
      <c r="U78" t="s">
        <v>745</v>
      </c>
      <c r="Z78">
        <v>2001</v>
      </c>
      <c r="AB78" t="s">
        <v>720</v>
      </c>
    </row>
    <row r="79" spans="1:28" x14ac:dyDescent="0.25">
      <c r="A79" t="s">
        <v>746</v>
      </c>
      <c r="B79" t="s">
        <v>747</v>
      </c>
      <c r="C79" t="s">
        <v>743</v>
      </c>
      <c r="D79" t="s">
        <v>346</v>
      </c>
      <c r="E79" t="s">
        <v>347</v>
      </c>
      <c r="F79" t="s">
        <v>347</v>
      </c>
      <c r="G79" t="s">
        <v>513</v>
      </c>
      <c r="H79" t="s">
        <v>514</v>
      </c>
      <c r="I79" t="s">
        <v>539</v>
      </c>
      <c r="J79" t="s">
        <v>540</v>
      </c>
      <c r="K79">
        <v>962.32</v>
      </c>
      <c r="L79">
        <v>-0.36</v>
      </c>
      <c r="M79" t="s">
        <v>483</v>
      </c>
      <c r="N79">
        <v>49.692500000000003</v>
      </c>
      <c r="O79">
        <v>-74.342100000000002</v>
      </c>
      <c r="P79">
        <v>382</v>
      </c>
      <c r="Q79">
        <v>8</v>
      </c>
      <c r="R79">
        <v>2003</v>
      </c>
      <c r="S79">
        <v>2010</v>
      </c>
      <c r="T79" t="s">
        <v>748</v>
      </c>
      <c r="U79" t="s">
        <v>749</v>
      </c>
      <c r="V79">
        <v>2003</v>
      </c>
      <c r="W79">
        <v>2010</v>
      </c>
      <c r="X79" t="s">
        <v>748</v>
      </c>
      <c r="Y79" t="s">
        <v>750</v>
      </c>
      <c r="Z79">
        <v>2003</v>
      </c>
      <c r="AB79" t="s">
        <v>751</v>
      </c>
    </row>
    <row r="80" spans="1:28" x14ac:dyDescent="0.25">
      <c r="A80" t="s">
        <v>752</v>
      </c>
      <c r="B80" t="s">
        <v>753</v>
      </c>
      <c r="C80" t="s">
        <v>567</v>
      </c>
      <c r="D80" t="s">
        <v>346</v>
      </c>
      <c r="E80" t="s">
        <v>348</v>
      </c>
      <c r="F80" t="s">
        <v>348</v>
      </c>
      <c r="G80" t="s">
        <v>376</v>
      </c>
      <c r="H80" t="s">
        <v>377</v>
      </c>
      <c r="I80" t="s">
        <v>573</v>
      </c>
      <c r="J80" t="s">
        <v>574</v>
      </c>
      <c r="K80">
        <v>1152</v>
      </c>
      <c r="L80">
        <v>10.4</v>
      </c>
      <c r="M80" t="s">
        <v>483</v>
      </c>
      <c r="N80">
        <v>49.131300000000003</v>
      </c>
      <c r="O80">
        <v>-123.1964</v>
      </c>
      <c r="Q80">
        <v>0</v>
      </c>
      <c r="Z80">
        <v>2022</v>
      </c>
    </row>
    <row r="81" spans="1:28" x14ac:dyDescent="0.25">
      <c r="A81" t="s">
        <v>754</v>
      </c>
      <c r="B81" t="s">
        <v>755</v>
      </c>
      <c r="C81" t="s">
        <v>756</v>
      </c>
      <c r="D81" t="s">
        <v>375</v>
      </c>
      <c r="E81" t="s">
        <v>348</v>
      </c>
      <c r="F81" t="s">
        <v>348</v>
      </c>
      <c r="G81" t="s">
        <v>581</v>
      </c>
      <c r="H81" t="s">
        <v>582</v>
      </c>
      <c r="I81" t="s">
        <v>481</v>
      </c>
      <c r="J81" t="s">
        <v>482</v>
      </c>
      <c r="K81">
        <v>1340.4</v>
      </c>
      <c r="L81">
        <v>5</v>
      </c>
      <c r="M81" t="s">
        <v>483</v>
      </c>
      <c r="N81">
        <v>48.260399999999997</v>
      </c>
      <c r="O81">
        <v>-58.663200000000003</v>
      </c>
      <c r="P81">
        <v>150</v>
      </c>
      <c r="Q81">
        <v>0</v>
      </c>
      <c r="Z81">
        <v>2014</v>
      </c>
    </row>
    <row r="82" spans="1:28" x14ac:dyDescent="0.25">
      <c r="A82" t="s">
        <v>757</v>
      </c>
      <c r="B82" t="s">
        <v>758</v>
      </c>
      <c r="C82" t="s">
        <v>756</v>
      </c>
      <c r="D82" t="s">
        <v>375</v>
      </c>
      <c r="E82" t="s">
        <v>348</v>
      </c>
      <c r="F82" t="s">
        <v>348</v>
      </c>
      <c r="G82" t="s">
        <v>581</v>
      </c>
      <c r="H82" t="s">
        <v>582</v>
      </c>
      <c r="I82" t="s">
        <v>481</v>
      </c>
      <c r="J82" t="s">
        <v>482</v>
      </c>
      <c r="K82">
        <v>1340.4</v>
      </c>
      <c r="L82">
        <v>5</v>
      </c>
      <c r="M82" t="s">
        <v>483</v>
      </c>
      <c r="N82">
        <v>48.263199999999998</v>
      </c>
      <c r="O82">
        <v>-58.667000000000002</v>
      </c>
      <c r="P82">
        <v>162</v>
      </c>
      <c r="Q82">
        <v>0</v>
      </c>
      <c r="Z82">
        <v>2014</v>
      </c>
    </row>
    <row r="83" spans="1:28" x14ac:dyDescent="0.25">
      <c r="A83" t="s">
        <v>759</v>
      </c>
      <c r="B83" t="s">
        <v>760</v>
      </c>
      <c r="C83" t="s">
        <v>553</v>
      </c>
      <c r="D83" t="s">
        <v>346</v>
      </c>
      <c r="E83" t="s">
        <v>348</v>
      </c>
      <c r="F83" t="s">
        <v>348</v>
      </c>
      <c r="G83" t="s">
        <v>761</v>
      </c>
      <c r="H83" t="s">
        <v>762</v>
      </c>
      <c r="I83" t="s">
        <v>680</v>
      </c>
      <c r="J83" t="s">
        <v>681</v>
      </c>
      <c r="K83">
        <v>199</v>
      </c>
      <c r="L83">
        <v>-15</v>
      </c>
      <c r="M83" t="s">
        <v>483</v>
      </c>
      <c r="N83">
        <v>74.727900000000005</v>
      </c>
      <c r="O83">
        <v>-94.898499999999999</v>
      </c>
      <c r="P83">
        <v>119</v>
      </c>
      <c r="Q83">
        <v>0</v>
      </c>
      <c r="Z83">
        <v>2024</v>
      </c>
    </row>
    <row r="84" spans="1:28" x14ac:dyDescent="0.25">
      <c r="A84" t="s">
        <v>763</v>
      </c>
      <c r="B84" t="s">
        <v>764</v>
      </c>
      <c r="C84" t="s">
        <v>765</v>
      </c>
      <c r="D84" t="s">
        <v>346</v>
      </c>
      <c r="E84" t="s">
        <v>347</v>
      </c>
      <c r="F84" t="s">
        <v>347</v>
      </c>
      <c r="G84" t="s">
        <v>376</v>
      </c>
      <c r="H84" t="s">
        <v>377</v>
      </c>
      <c r="I84" t="s">
        <v>539</v>
      </c>
      <c r="J84" t="s">
        <v>540</v>
      </c>
      <c r="K84">
        <v>388</v>
      </c>
      <c r="L84">
        <v>-2.8</v>
      </c>
      <c r="M84" t="s">
        <v>483</v>
      </c>
      <c r="N84">
        <v>61.308900000000001</v>
      </c>
      <c r="O84">
        <v>-121.2984</v>
      </c>
      <c r="P84">
        <v>280</v>
      </c>
      <c r="Q84">
        <v>6</v>
      </c>
      <c r="R84">
        <v>2014</v>
      </c>
      <c r="S84">
        <v>2019</v>
      </c>
      <c r="T84" t="s">
        <v>766</v>
      </c>
      <c r="U84" t="s">
        <v>767</v>
      </c>
      <c r="V84">
        <v>2014</v>
      </c>
      <c r="W84">
        <v>2019</v>
      </c>
      <c r="X84" t="s">
        <v>766</v>
      </c>
      <c r="Y84" t="s">
        <v>768</v>
      </c>
      <c r="Z84">
        <v>2014</v>
      </c>
      <c r="AB84" t="s">
        <v>769</v>
      </c>
    </row>
    <row r="85" spans="1:28" x14ac:dyDescent="0.25">
      <c r="A85" t="s">
        <v>770</v>
      </c>
      <c r="B85" t="s">
        <v>771</v>
      </c>
      <c r="C85" t="s">
        <v>765</v>
      </c>
      <c r="D85" t="s">
        <v>346</v>
      </c>
      <c r="E85" t="s">
        <v>347</v>
      </c>
      <c r="F85" t="s">
        <v>347</v>
      </c>
      <c r="G85" t="s">
        <v>513</v>
      </c>
      <c r="H85" t="s">
        <v>514</v>
      </c>
      <c r="I85" t="s">
        <v>539</v>
      </c>
      <c r="J85" t="s">
        <v>540</v>
      </c>
      <c r="K85">
        <v>387.6</v>
      </c>
      <c r="L85">
        <v>-2.8</v>
      </c>
      <c r="M85" t="s">
        <v>483</v>
      </c>
      <c r="N85">
        <v>61.307899999999997</v>
      </c>
      <c r="O85">
        <v>-121.2992</v>
      </c>
      <c r="P85">
        <v>285</v>
      </c>
      <c r="Q85">
        <v>4</v>
      </c>
      <c r="R85">
        <v>2013</v>
      </c>
      <c r="S85">
        <v>2016</v>
      </c>
      <c r="T85" t="s">
        <v>772</v>
      </c>
      <c r="U85" t="s">
        <v>773</v>
      </c>
      <c r="V85">
        <v>2013</v>
      </c>
      <c r="W85">
        <v>2016</v>
      </c>
      <c r="X85" t="s">
        <v>772</v>
      </c>
      <c r="Y85" t="s">
        <v>774</v>
      </c>
      <c r="Z85">
        <v>2013</v>
      </c>
      <c r="AB85" t="s">
        <v>775</v>
      </c>
    </row>
    <row r="86" spans="1:28" x14ac:dyDescent="0.25">
      <c r="A86" t="s">
        <v>776</v>
      </c>
      <c r="B86" t="s">
        <v>777</v>
      </c>
      <c r="C86" t="s">
        <v>658</v>
      </c>
      <c r="D86" t="s">
        <v>346</v>
      </c>
      <c r="E86" t="s">
        <v>347</v>
      </c>
      <c r="F86" t="s">
        <v>347</v>
      </c>
      <c r="G86" t="s">
        <v>513</v>
      </c>
      <c r="H86" t="s">
        <v>514</v>
      </c>
      <c r="I86" t="s">
        <v>539</v>
      </c>
      <c r="J86" t="s">
        <v>540</v>
      </c>
      <c r="K86">
        <v>470</v>
      </c>
      <c r="L86">
        <v>0.4</v>
      </c>
      <c r="M86" t="s">
        <v>483</v>
      </c>
      <c r="N86">
        <v>54.484999999999999</v>
      </c>
      <c r="O86">
        <v>-105.8176</v>
      </c>
      <c r="P86">
        <v>536</v>
      </c>
      <c r="Q86">
        <v>4</v>
      </c>
      <c r="R86">
        <v>2003</v>
      </c>
      <c r="S86">
        <v>2006</v>
      </c>
      <c r="T86" t="s">
        <v>778</v>
      </c>
      <c r="U86" t="s">
        <v>779</v>
      </c>
      <c r="V86">
        <v>2003</v>
      </c>
      <c r="W86">
        <v>2006</v>
      </c>
      <c r="X86" t="s">
        <v>778</v>
      </c>
      <c r="Y86" t="s">
        <v>780</v>
      </c>
      <c r="Z86">
        <v>2004</v>
      </c>
      <c r="AA86">
        <v>2006</v>
      </c>
      <c r="AB86" t="s">
        <v>781</v>
      </c>
    </row>
    <row r="87" spans="1:28" x14ac:dyDescent="0.25">
      <c r="A87" t="s">
        <v>782</v>
      </c>
      <c r="B87" t="s">
        <v>783</v>
      </c>
      <c r="C87" t="s">
        <v>658</v>
      </c>
      <c r="D87" t="s">
        <v>346</v>
      </c>
      <c r="E87" t="s">
        <v>347</v>
      </c>
      <c r="F87" t="s">
        <v>347</v>
      </c>
      <c r="G87" t="s">
        <v>513</v>
      </c>
      <c r="H87" t="s">
        <v>514</v>
      </c>
      <c r="I87" t="s">
        <v>539</v>
      </c>
      <c r="J87" t="s">
        <v>540</v>
      </c>
      <c r="K87">
        <v>470</v>
      </c>
      <c r="L87">
        <v>0.4</v>
      </c>
      <c r="M87" t="s">
        <v>483</v>
      </c>
      <c r="N87">
        <v>54.253900000000002</v>
      </c>
      <c r="O87">
        <v>-105.8775</v>
      </c>
      <c r="P87">
        <v>520</v>
      </c>
      <c r="Q87">
        <v>6</v>
      </c>
      <c r="R87">
        <v>2001</v>
      </c>
      <c r="S87">
        <v>2006</v>
      </c>
      <c r="T87" t="s">
        <v>784</v>
      </c>
      <c r="U87" t="s">
        <v>785</v>
      </c>
      <c r="V87">
        <v>2001</v>
      </c>
      <c r="W87">
        <v>2006</v>
      </c>
      <c r="X87" t="s">
        <v>784</v>
      </c>
      <c r="Y87" t="s">
        <v>786</v>
      </c>
      <c r="Z87">
        <v>2001</v>
      </c>
      <c r="AA87">
        <v>2005</v>
      </c>
      <c r="AB87" t="s">
        <v>787</v>
      </c>
    </row>
    <row r="88" spans="1:28" x14ac:dyDescent="0.25">
      <c r="A88" t="s">
        <v>788</v>
      </c>
      <c r="B88" t="s">
        <v>789</v>
      </c>
      <c r="C88" t="s">
        <v>658</v>
      </c>
      <c r="D88" t="s">
        <v>346</v>
      </c>
      <c r="E88" t="s">
        <v>347</v>
      </c>
      <c r="F88" t="s">
        <v>348</v>
      </c>
      <c r="G88" t="s">
        <v>581</v>
      </c>
      <c r="H88" t="s">
        <v>582</v>
      </c>
      <c r="I88" t="s">
        <v>539</v>
      </c>
      <c r="J88" t="s">
        <v>540</v>
      </c>
      <c r="K88">
        <v>470</v>
      </c>
      <c r="L88">
        <v>0.4</v>
      </c>
      <c r="M88" t="s">
        <v>483</v>
      </c>
      <c r="N88">
        <v>54.0916</v>
      </c>
      <c r="O88">
        <v>-106.00530000000001</v>
      </c>
      <c r="P88">
        <v>540</v>
      </c>
      <c r="Q88">
        <v>6</v>
      </c>
      <c r="R88">
        <v>2001</v>
      </c>
      <c r="S88">
        <v>2006</v>
      </c>
      <c r="T88" t="s">
        <v>784</v>
      </c>
      <c r="U88" t="s">
        <v>790</v>
      </c>
      <c r="Z88">
        <v>2001</v>
      </c>
      <c r="AA88">
        <v>2006</v>
      </c>
      <c r="AB88" t="s">
        <v>781</v>
      </c>
    </row>
    <row r="89" spans="1:28" x14ac:dyDescent="0.25">
      <c r="A89" t="s">
        <v>791</v>
      </c>
      <c r="B89" t="s">
        <v>792</v>
      </c>
      <c r="C89" t="s">
        <v>793</v>
      </c>
      <c r="D89" t="s">
        <v>346</v>
      </c>
      <c r="E89" t="s">
        <v>347</v>
      </c>
      <c r="F89" t="s">
        <v>348</v>
      </c>
      <c r="G89" t="s">
        <v>513</v>
      </c>
      <c r="H89" t="s">
        <v>514</v>
      </c>
      <c r="I89" t="s">
        <v>539</v>
      </c>
      <c r="J89" t="s">
        <v>540</v>
      </c>
      <c r="K89">
        <v>430.23</v>
      </c>
      <c r="L89">
        <v>0.13</v>
      </c>
      <c r="M89" t="s">
        <v>483</v>
      </c>
      <c r="N89">
        <v>53.908000000000001</v>
      </c>
      <c r="O89">
        <v>-104.65600000000001</v>
      </c>
      <c r="P89">
        <v>580</v>
      </c>
      <c r="Q89">
        <v>11</v>
      </c>
      <c r="R89">
        <v>2000</v>
      </c>
      <c r="S89">
        <v>2010</v>
      </c>
      <c r="T89" t="s">
        <v>794</v>
      </c>
      <c r="U89" t="s">
        <v>795</v>
      </c>
      <c r="Z89">
        <v>2001</v>
      </c>
      <c r="AB89" t="s">
        <v>796</v>
      </c>
    </row>
    <row r="90" spans="1:28" x14ac:dyDescent="0.25">
      <c r="A90" t="s">
        <v>797</v>
      </c>
      <c r="B90" t="s">
        <v>798</v>
      </c>
      <c r="C90" t="s">
        <v>793</v>
      </c>
      <c r="D90" t="s">
        <v>346</v>
      </c>
      <c r="E90" t="s">
        <v>347</v>
      </c>
      <c r="F90" t="s">
        <v>348</v>
      </c>
      <c r="G90" t="s">
        <v>513</v>
      </c>
      <c r="H90" t="s">
        <v>514</v>
      </c>
      <c r="I90" t="s">
        <v>539</v>
      </c>
      <c r="J90" t="s">
        <v>540</v>
      </c>
      <c r="K90">
        <v>430.03</v>
      </c>
      <c r="L90">
        <v>0.11</v>
      </c>
      <c r="M90" t="s">
        <v>483</v>
      </c>
      <c r="N90">
        <v>53.945</v>
      </c>
      <c r="O90">
        <v>-104.649</v>
      </c>
      <c r="P90">
        <v>580</v>
      </c>
      <c r="Q90">
        <v>9</v>
      </c>
      <c r="R90">
        <v>2002</v>
      </c>
      <c r="S90">
        <v>2010</v>
      </c>
      <c r="T90" t="s">
        <v>799</v>
      </c>
      <c r="U90" t="s">
        <v>800</v>
      </c>
      <c r="Z90">
        <v>2003</v>
      </c>
      <c r="AB90" t="s">
        <v>801</v>
      </c>
    </row>
    <row r="91" spans="1:28" x14ac:dyDescent="0.25">
      <c r="A91" t="s">
        <v>802</v>
      </c>
      <c r="B91" t="s">
        <v>803</v>
      </c>
      <c r="C91" t="s">
        <v>793</v>
      </c>
      <c r="D91" t="s">
        <v>375</v>
      </c>
      <c r="E91" t="s">
        <v>347</v>
      </c>
      <c r="F91" t="s">
        <v>348</v>
      </c>
      <c r="G91" t="s">
        <v>513</v>
      </c>
      <c r="H91" t="s">
        <v>514</v>
      </c>
      <c r="I91" t="s">
        <v>539</v>
      </c>
      <c r="J91" t="s">
        <v>540</v>
      </c>
      <c r="K91">
        <v>433.33</v>
      </c>
      <c r="L91">
        <v>0.13</v>
      </c>
      <c r="M91" t="s">
        <v>483</v>
      </c>
      <c r="N91">
        <v>53.875799999999998</v>
      </c>
      <c r="O91">
        <v>-104.64530000000001</v>
      </c>
      <c r="Q91">
        <v>9</v>
      </c>
      <c r="R91">
        <v>2002</v>
      </c>
      <c r="S91">
        <v>2010</v>
      </c>
      <c r="T91" t="s">
        <v>799</v>
      </c>
      <c r="U91" t="s">
        <v>804</v>
      </c>
      <c r="Z91">
        <v>2004</v>
      </c>
      <c r="AB91" t="s">
        <v>805</v>
      </c>
    </row>
    <row r="92" spans="1:28" x14ac:dyDescent="0.25">
      <c r="A92" t="s">
        <v>806</v>
      </c>
      <c r="B92" t="s">
        <v>807</v>
      </c>
      <c r="C92" t="s">
        <v>765</v>
      </c>
      <c r="D92" t="s">
        <v>346</v>
      </c>
      <c r="E92" t="s">
        <v>347</v>
      </c>
      <c r="F92" t="s">
        <v>348</v>
      </c>
      <c r="G92" t="s">
        <v>513</v>
      </c>
      <c r="H92" t="s">
        <v>514</v>
      </c>
      <c r="I92" t="s">
        <v>539</v>
      </c>
      <c r="J92" t="s">
        <v>540</v>
      </c>
      <c r="K92">
        <v>388</v>
      </c>
      <c r="L92">
        <v>-2.8</v>
      </c>
      <c r="M92" t="s">
        <v>483</v>
      </c>
      <c r="N92">
        <v>63.153399999999998</v>
      </c>
      <c r="O92">
        <v>-123.2522</v>
      </c>
      <c r="P92">
        <v>150</v>
      </c>
      <c r="Q92">
        <v>1</v>
      </c>
      <c r="R92">
        <v>2018</v>
      </c>
      <c r="S92">
        <v>2018</v>
      </c>
      <c r="T92">
        <v>2018</v>
      </c>
      <c r="U92" t="s">
        <v>808</v>
      </c>
      <c r="Z92">
        <v>2017</v>
      </c>
      <c r="AA92">
        <v>2022</v>
      </c>
      <c r="AB92" t="s">
        <v>809</v>
      </c>
    </row>
    <row r="93" spans="1:28" x14ac:dyDescent="0.25">
      <c r="A93" t="s">
        <v>810</v>
      </c>
      <c r="B93" t="s">
        <v>811</v>
      </c>
      <c r="C93" t="s">
        <v>812</v>
      </c>
      <c r="D93" t="s">
        <v>346</v>
      </c>
      <c r="E93" t="s">
        <v>347</v>
      </c>
      <c r="F93" t="s">
        <v>347</v>
      </c>
      <c r="G93" t="s">
        <v>513</v>
      </c>
      <c r="H93" t="s">
        <v>514</v>
      </c>
      <c r="I93" t="s">
        <v>481</v>
      </c>
      <c r="J93" t="s">
        <v>482</v>
      </c>
      <c r="K93">
        <v>1036</v>
      </c>
      <c r="L93">
        <v>8</v>
      </c>
      <c r="M93" t="s">
        <v>483</v>
      </c>
      <c r="N93">
        <v>42.660899999999998</v>
      </c>
      <c r="O93">
        <v>-80.5595</v>
      </c>
      <c r="P93">
        <v>265</v>
      </c>
      <c r="Q93">
        <v>16</v>
      </c>
      <c r="R93">
        <v>2002</v>
      </c>
      <c r="S93">
        <v>2017</v>
      </c>
      <c r="T93" t="s">
        <v>813</v>
      </c>
      <c r="U93" t="s">
        <v>814</v>
      </c>
      <c r="V93">
        <v>2002</v>
      </c>
      <c r="W93">
        <v>2017</v>
      </c>
      <c r="X93" t="s">
        <v>813</v>
      </c>
      <c r="Y93" t="s">
        <v>815</v>
      </c>
      <c r="Z93">
        <v>2003</v>
      </c>
      <c r="AB93" t="s">
        <v>816</v>
      </c>
    </row>
    <row r="94" spans="1:28" x14ac:dyDescent="0.25">
      <c r="A94" t="s">
        <v>817</v>
      </c>
      <c r="B94" t="s">
        <v>818</v>
      </c>
      <c r="C94" t="s">
        <v>812</v>
      </c>
      <c r="D94" t="s">
        <v>346</v>
      </c>
      <c r="E94" t="s">
        <v>347</v>
      </c>
      <c r="F94" t="s">
        <v>348</v>
      </c>
      <c r="G94" t="s">
        <v>513</v>
      </c>
      <c r="H94" t="s">
        <v>514</v>
      </c>
      <c r="I94" t="s">
        <v>481</v>
      </c>
      <c r="J94" t="s">
        <v>482</v>
      </c>
      <c r="K94">
        <v>1036</v>
      </c>
      <c r="L94">
        <v>8</v>
      </c>
      <c r="M94" t="s">
        <v>483</v>
      </c>
      <c r="N94">
        <v>42.7744</v>
      </c>
      <c r="O94">
        <v>-80.458799999999997</v>
      </c>
      <c r="P94">
        <v>212</v>
      </c>
      <c r="Q94">
        <v>7</v>
      </c>
      <c r="R94">
        <v>2002</v>
      </c>
      <c r="S94">
        <v>2008</v>
      </c>
      <c r="T94" t="s">
        <v>819</v>
      </c>
      <c r="U94" t="s">
        <v>820</v>
      </c>
      <c r="Z94">
        <v>2003</v>
      </c>
      <c r="AA94">
        <v>2008</v>
      </c>
      <c r="AB94" t="s">
        <v>821</v>
      </c>
    </row>
    <row r="95" spans="1:28" x14ac:dyDescent="0.25">
      <c r="A95" t="s">
        <v>822</v>
      </c>
      <c r="B95" t="s">
        <v>823</v>
      </c>
      <c r="C95" t="s">
        <v>812</v>
      </c>
      <c r="D95" t="s">
        <v>346</v>
      </c>
      <c r="E95" t="s">
        <v>347</v>
      </c>
      <c r="F95" t="s">
        <v>347</v>
      </c>
      <c r="G95" t="s">
        <v>513</v>
      </c>
      <c r="H95" t="s">
        <v>514</v>
      </c>
      <c r="I95" t="s">
        <v>481</v>
      </c>
      <c r="J95" t="s">
        <v>482</v>
      </c>
      <c r="K95">
        <v>1036</v>
      </c>
      <c r="L95">
        <v>8</v>
      </c>
      <c r="M95" t="s">
        <v>483</v>
      </c>
      <c r="N95">
        <v>42.706800000000001</v>
      </c>
      <c r="O95">
        <v>-80.348299999999995</v>
      </c>
      <c r="P95">
        <v>184</v>
      </c>
      <c r="Q95">
        <v>16</v>
      </c>
      <c r="R95">
        <v>2002</v>
      </c>
      <c r="S95">
        <v>2017</v>
      </c>
      <c r="T95" t="s">
        <v>813</v>
      </c>
      <c r="U95" t="s">
        <v>824</v>
      </c>
      <c r="V95">
        <v>2002</v>
      </c>
      <c r="W95">
        <v>2017</v>
      </c>
      <c r="X95" t="s">
        <v>813</v>
      </c>
      <c r="Y95" t="s">
        <v>825</v>
      </c>
      <c r="Z95">
        <v>2003</v>
      </c>
      <c r="AB95" t="s">
        <v>821</v>
      </c>
    </row>
    <row r="96" spans="1:28" x14ac:dyDescent="0.25">
      <c r="A96" t="s">
        <v>826</v>
      </c>
      <c r="B96" t="s">
        <v>827</v>
      </c>
      <c r="C96" t="s">
        <v>812</v>
      </c>
      <c r="D96" t="s">
        <v>346</v>
      </c>
      <c r="E96" t="s">
        <v>347</v>
      </c>
      <c r="F96" t="s">
        <v>348</v>
      </c>
      <c r="G96" t="s">
        <v>513</v>
      </c>
      <c r="H96" t="s">
        <v>514</v>
      </c>
      <c r="I96" t="s">
        <v>481</v>
      </c>
      <c r="J96" t="s">
        <v>482</v>
      </c>
      <c r="K96">
        <v>1036</v>
      </c>
      <c r="L96">
        <v>8</v>
      </c>
      <c r="M96" t="s">
        <v>483</v>
      </c>
      <c r="N96">
        <v>42.7102</v>
      </c>
      <c r="O96">
        <v>-80.357399999999998</v>
      </c>
      <c r="P96">
        <v>184</v>
      </c>
      <c r="Q96">
        <v>16</v>
      </c>
      <c r="R96">
        <v>2002</v>
      </c>
      <c r="S96">
        <v>2017</v>
      </c>
      <c r="T96" t="s">
        <v>813</v>
      </c>
      <c r="U96" t="s">
        <v>828</v>
      </c>
      <c r="Z96">
        <v>2003</v>
      </c>
      <c r="AB96" t="s">
        <v>829</v>
      </c>
    </row>
    <row r="97" spans="1:28" x14ac:dyDescent="0.25">
      <c r="A97" t="s">
        <v>830</v>
      </c>
      <c r="B97" t="s">
        <v>831</v>
      </c>
      <c r="C97" t="s">
        <v>812</v>
      </c>
      <c r="D97" t="s">
        <v>346</v>
      </c>
      <c r="E97" t="s">
        <v>348</v>
      </c>
      <c r="F97" t="s">
        <v>348</v>
      </c>
      <c r="G97" t="s">
        <v>349</v>
      </c>
      <c r="H97" t="s">
        <v>350</v>
      </c>
      <c r="K97">
        <v>956</v>
      </c>
      <c r="L97">
        <v>8.4</v>
      </c>
      <c r="M97" t="s">
        <v>483</v>
      </c>
      <c r="N97">
        <v>42.694699999999997</v>
      </c>
      <c r="O97">
        <v>-80.348699999999994</v>
      </c>
      <c r="P97">
        <v>200</v>
      </c>
      <c r="Q97">
        <v>0</v>
      </c>
      <c r="Z97">
        <v>2020</v>
      </c>
    </row>
    <row r="98" spans="1:28" x14ac:dyDescent="0.25">
      <c r="A98" t="s">
        <v>832</v>
      </c>
      <c r="B98" t="s">
        <v>833</v>
      </c>
      <c r="C98" t="s">
        <v>812</v>
      </c>
      <c r="D98" t="s">
        <v>346</v>
      </c>
      <c r="E98" t="s">
        <v>347</v>
      </c>
      <c r="F98" t="s">
        <v>347</v>
      </c>
      <c r="G98" t="s">
        <v>428</v>
      </c>
      <c r="H98" t="s">
        <v>429</v>
      </c>
      <c r="I98" t="s">
        <v>481</v>
      </c>
      <c r="J98" t="s">
        <v>482</v>
      </c>
      <c r="K98">
        <v>1036</v>
      </c>
      <c r="L98">
        <v>8</v>
      </c>
      <c r="M98" t="s">
        <v>483</v>
      </c>
      <c r="N98">
        <v>42.635300000000001</v>
      </c>
      <c r="O98">
        <v>-80.557699999999997</v>
      </c>
      <c r="P98">
        <v>260</v>
      </c>
      <c r="Q98">
        <v>6</v>
      </c>
      <c r="R98">
        <v>2012</v>
      </c>
      <c r="S98">
        <v>2017</v>
      </c>
      <c r="T98" t="s">
        <v>834</v>
      </c>
      <c r="U98" t="s">
        <v>835</v>
      </c>
      <c r="V98">
        <v>2012</v>
      </c>
      <c r="W98">
        <v>2017</v>
      </c>
      <c r="X98" t="s">
        <v>834</v>
      </c>
      <c r="Y98" t="s">
        <v>836</v>
      </c>
      <c r="Z98">
        <v>2012</v>
      </c>
      <c r="AB98" t="s">
        <v>837</v>
      </c>
    </row>
    <row r="99" spans="1:28" x14ac:dyDescent="0.25">
      <c r="A99" t="s">
        <v>838</v>
      </c>
      <c r="B99" t="s">
        <v>839</v>
      </c>
      <c r="C99" t="s">
        <v>840</v>
      </c>
      <c r="D99" t="s">
        <v>346</v>
      </c>
      <c r="E99" t="s">
        <v>347</v>
      </c>
      <c r="F99" t="s">
        <v>348</v>
      </c>
      <c r="G99" t="s">
        <v>581</v>
      </c>
      <c r="H99" t="s">
        <v>582</v>
      </c>
      <c r="I99" t="s">
        <v>539</v>
      </c>
      <c r="J99" t="s">
        <v>540</v>
      </c>
      <c r="K99">
        <v>240.6</v>
      </c>
      <c r="L99">
        <v>-8.1999999999999993</v>
      </c>
      <c r="M99" t="s">
        <v>483</v>
      </c>
      <c r="N99">
        <v>68.746200000000002</v>
      </c>
      <c r="O99">
        <v>-133.5017</v>
      </c>
      <c r="P99">
        <v>85</v>
      </c>
      <c r="Q99">
        <v>1</v>
      </c>
      <c r="R99">
        <v>2017</v>
      </c>
      <c r="S99">
        <v>2017</v>
      </c>
      <c r="T99">
        <v>2017</v>
      </c>
      <c r="U99" t="s">
        <v>841</v>
      </c>
      <c r="Z99">
        <v>2013</v>
      </c>
      <c r="AB99" t="s">
        <v>842</v>
      </c>
    </row>
    <row r="100" spans="1:28" x14ac:dyDescent="0.25">
      <c r="A100" t="s">
        <v>843</v>
      </c>
      <c r="B100" t="s">
        <v>844</v>
      </c>
      <c r="C100" t="s">
        <v>626</v>
      </c>
      <c r="D100" t="s">
        <v>375</v>
      </c>
      <c r="E100" t="s">
        <v>347</v>
      </c>
      <c r="F100" t="s">
        <v>348</v>
      </c>
      <c r="G100" t="s">
        <v>376</v>
      </c>
      <c r="H100" t="s">
        <v>377</v>
      </c>
      <c r="I100" t="s">
        <v>539</v>
      </c>
      <c r="J100" t="s">
        <v>540</v>
      </c>
      <c r="K100">
        <v>461.07</v>
      </c>
      <c r="L100">
        <v>1.1000000000000001</v>
      </c>
      <c r="M100" t="s">
        <v>483</v>
      </c>
      <c r="N100">
        <v>54.953800000000001</v>
      </c>
      <c r="O100">
        <v>-112.467</v>
      </c>
      <c r="P100">
        <v>540</v>
      </c>
      <c r="Q100">
        <v>7</v>
      </c>
      <c r="R100">
        <v>2003</v>
      </c>
      <c r="S100">
        <v>2009</v>
      </c>
      <c r="T100" t="s">
        <v>845</v>
      </c>
      <c r="U100" t="s">
        <v>846</v>
      </c>
      <c r="Z100">
        <v>2003</v>
      </c>
      <c r="AB100" t="s">
        <v>847</v>
      </c>
    </row>
    <row r="101" spans="1:28" x14ac:dyDescent="0.25">
      <c r="A101" t="s">
        <v>848</v>
      </c>
      <c r="B101" t="s">
        <v>849</v>
      </c>
      <c r="C101" t="s">
        <v>626</v>
      </c>
      <c r="D101" t="s">
        <v>375</v>
      </c>
      <c r="E101" t="s">
        <v>347</v>
      </c>
      <c r="F101" t="s">
        <v>348</v>
      </c>
      <c r="G101" t="s">
        <v>376</v>
      </c>
      <c r="H101" t="s">
        <v>377</v>
      </c>
      <c r="I101" t="s">
        <v>539</v>
      </c>
      <c r="J101" t="s">
        <v>540</v>
      </c>
      <c r="M101" t="s">
        <v>483</v>
      </c>
      <c r="N101">
        <v>55.537500000000001</v>
      </c>
      <c r="O101">
        <v>-112.3343</v>
      </c>
      <c r="Q101">
        <v>3</v>
      </c>
      <c r="R101">
        <v>2004</v>
      </c>
      <c r="S101">
        <v>2006</v>
      </c>
      <c r="T101" t="s">
        <v>850</v>
      </c>
      <c r="U101" t="s">
        <v>851</v>
      </c>
      <c r="Z101">
        <v>2004</v>
      </c>
      <c r="AA101">
        <v>2004</v>
      </c>
      <c r="AB101" t="s">
        <v>852</v>
      </c>
    </row>
    <row r="102" spans="1:28" x14ac:dyDescent="0.25">
      <c r="A102" t="s">
        <v>853</v>
      </c>
      <c r="B102" t="s">
        <v>854</v>
      </c>
      <c r="C102" t="s">
        <v>626</v>
      </c>
      <c r="D102" t="s">
        <v>375</v>
      </c>
      <c r="E102" t="s">
        <v>347</v>
      </c>
      <c r="F102" t="s">
        <v>348</v>
      </c>
      <c r="G102" t="s">
        <v>376</v>
      </c>
      <c r="H102" t="s">
        <v>377</v>
      </c>
      <c r="I102" t="s">
        <v>539</v>
      </c>
      <c r="J102" t="s">
        <v>540</v>
      </c>
      <c r="M102" t="s">
        <v>483</v>
      </c>
      <c r="N102">
        <v>54.47</v>
      </c>
      <c r="O102">
        <v>-113.32</v>
      </c>
      <c r="Q102">
        <v>3</v>
      </c>
      <c r="R102">
        <v>2004</v>
      </c>
      <c r="S102">
        <v>2006</v>
      </c>
      <c r="T102" t="s">
        <v>850</v>
      </c>
      <c r="U102" t="s">
        <v>855</v>
      </c>
      <c r="Z102">
        <v>2004</v>
      </c>
      <c r="AA102">
        <v>2004</v>
      </c>
      <c r="AB102" t="s">
        <v>852</v>
      </c>
    </row>
    <row r="103" spans="1:28" x14ac:dyDescent="0.25">
      <c r="A103" t="s">
        <v>856</v>
      </c>
      <c r="B103" t="s">
        <v>857</v>
      </c>
      <c r="C103" t="s">
        <v>500</v>
      </c>
      <c r="D103" t="s">
        <v>346</v>
      </c>
      <c r="E103" t="s">
        <v>348</v>
      </c>
      <c r="F103" t="s">
        <v>348</v>
      </c>
      <c r="G103" t="s">
        <v>376</v>
      </c>
      <c r="H103" t="s">
        <v>377</v>
      </c>
      <c r="I103" t="s">
        <v>481</v>
      </c>
      <c r="J103" t="s">
        <v>482</v>
      </c>
      <c r="K103">
        <v>969.7</v>
      </c>
      <c r="L103">
        <v>2.1</v>
      </c>
      <c r="M103" t="s">
        <v>483</v>
      </c>
      <c r="N103">
        <v>48.351300000000002</v>
      </c>
      <c r="O103">
        <v>-85.357100000000003</v>
      </c>
      <c r="P103">
        <v>485</v>
      </c>
      <c r="Q103">
        <v>0</v>
      </c>
      <c r="Z103">
        <v>2024</v>
      </c>
    </row>
    <row r="104" spans="1:28" x14ac:dyDescent="0.25">
      <c r="A104" t="s">
        <v>858</v>
      </c>
      <c r="B104" t="s">
        <v>859</v>
      </c>
      <c r="C104" t="s">
        <v>860</v>
      </c>
      <c r="D104" t="s">
        <v>346</v>
      </c>
      <c r="E104" t="s">
        <v>348</v>
      </c>
      <c r="F104" t="s">
        <v>348</v>
      </c>
      <c r="G104" t="s">
        <v>513</v>
      </c>
      <c r="H104" t="s">
        <v>514</v>
      </c>
      <c r="I104" t="s">
        <v>351</v>
      </c>
      <c r="J104" t="s">
        <v>352</v>
      </c>
      <c r="K104">
        <v>4500</v>
      </c>
      <c r="L104">
        <v>7.3</v>
      </c>
      <c r="M104" t="s">
        <v>861</v>
      </c>
      <c r="N104">
        <v>-40.172600000000003</v>
      </c>
      <c r="O104">
        <v>-73.443899999999999</v>
      </c>
      <c r="P104">
        <v>822</v>
      </c>
      <c r="Q104">
        <v>0</v>
      </c>
      <c r="Z104">
        <v>2018</v>
      </c>
    </row>
    <row r="105" spans="1:28" x14ac:dyDescent="0.25">
      <c r="A105" t="s">
        <v>862</v>
      </c>
      <c r="B105" t="s">
        <v>863</v>
      </c>
      <c r="C105" t="s">
        <v>864</v>
      </c>
      <c r="D105" t="s">
        <v>346</v>
      </c>
      <c r="E105" t="s">
        <v>347</v>
      </c>
      <c r="F105" t="s">
        <v>347</v>
      </c>
      <c r="G105" t="s">
        <v>397</v>
      </c>
      <c r="H105" t="s">
        <v>398</v>
      </c>
      <c r="I105" t="s">
        <v>351</v>
      </c>
      <c r="J105" t="s">
        <v>352</v>
      </c>
      <c r="K105">
        <v>2110</v>
      </c>
      <c r="L105">
        <v>10</v>
      </c>
      <c r="M105" t="s">
        <v>861</v>
      </c>
      <c r="N105">
        <v>-41.883000000000003</v>
      </c>
      <c r="O105">
        <v>-73.676000000000002</v>
      </c>
      <c r="P105">
        <v>50</v>
      </c>
      <c r="Q105">
        <v>9</v>
      </c>
      <c r="R105">
        <v>2014</v>
      </c>
      <c r="S105">
        <v>2022</v>
      </c>
      <c r="T105" t="s">
        <v>865</v>
      </c>
      <c r="U105" t="s">
        <v>866</v>
      </c>
      <c r="V105">
        <v>2014</v>
      </c>
      <c r="W105">
        <v>2021</v>
      </c>
      <c r="X105" t="s">
        <v>867</v>
      </c>
      <c r="Y105" t="s">
        <v>868</v>
      </c>
      <c r="Z105">
        <v>2014</v>
      </c>
      <c r="AB105" t="s">
        <v>869</v>
      </c>
    </row>
    <row r="106" spans="1:28" x14ac:dyDescent="0.25">
      <c r="A106" t="s">
        <v>870</v>
      </c>
      <c r="B106" t="s">
        <v>871</v>
      </c>
      <c r="C106" t="s">
        <v>872</v>
      </c>
      <c r="D106" t="s">
        <v>346</v>
      </c>
      <c r="E106" t="s">
        <v>347</v>
      </c>
      <c r="F106" t="s">
        <v>348</v>
      </c>
      <c r="G106" t="s">
        <v>376</v>
      </c>
      <c r="H106" t="s">
        <v>377</v>
      </c>
      <c r="I106" t="s">
        <v>351</v>
      </c>
      <c r="J106" t="s">
        <v>352</v>
      </c>
      <c r="K106">
        <v>2110</v>
      </c>
      <c r="L106">
        <v>10</v>
      </c>
      <c r="M106" t="s">
        <v>861</v>
      </c>
      <c r="N106">
        <v>-41.878999999999998</v>
      </c>
      <c r="O106">
        <v>-73.665999999999997</v>
      </c>
      <c r="P106">
        <v>50</v>
      </c>
      <c r="Q106">
        <v>9</v>
      </c>
      <c r="R106">
        <v>2014</v>
      </c>
      <c r="S106">
        <v>2022</v>
      </c>
      <c r="T106" t="s">
        <v>865</v>
      </c>
      <c r="U106" t="s">
        <v>873</v>
      </c>
      <c r="Z106">
        <v>2014</v>
      </c>
      <c r="AB106" t="s">
        <v>869</v>
      </c>
    </row>
    <row r="107" spans="1:28" x14ac:dyDescent="0.25">
      <c r="A107" t="s">
        <v>874</v>
      </c>
      <c r="B107" t="s">
        <v>875</v>
      </c>
      <c r="C107" t="s">
        <v>876</v>
      </c>
      <c r="D107" t="s">
        <v>375</v>
      </c>
      <c r="E107" t="s">
        <v>348</v>
      </c>
      <c r="F107" t="s">
        <v>348</v>
      </c>
      <c r="G107" t="s">
        <v>376</v>
      </c>
      <c r="H107" t="s">
        <v>377</v>
      </c>
      <c r="M107" t="s">
        <v>877</v>
      </c>
      <c r="N107">
        <v>4.9138999999999999</v>
      </c>
      <c r="O107">
        <v>-73.736500000000007</v>
      </c>
      <c r="P107">
        <v>3001</v>
      </c>
      <c r="Q107">
        <v>0</v>
      </c>
      <c r="Z107">
        <v>2023</v>
      </c>
    </row>
    <row r="108" spans="1:28" x14ac:dyDescent="0.25">
      <c r="A108" t="s">
        <v>878</v>
      </c>
      <c r="B108" t="s">
        <v>879</v>
      </c>
      <c r="C108" t="s">
        <v>876</v>
      </c>
      <c r="D108" t="s">
        <v>375</v>
      </c>
      <c r="E108" t="s">
        <v>348</v>
      </c>
      <c r="F108" t="s">
        <v>348</v>
      </c>
      <c r="G108" t="s">
        <v>376</v>
      </c>
      <c r="H108" t="s">
        <v>377</v>
      </c>
      <c r="M108" t="s">
        <v>877</v>
      </c>
      <c r="N108">
        <v>4.9168000000000003</v>
      </c>
      <c r="O108">
        <v>-73.742900000000006</v>
      </c>
      <c r="P108">
        <v>3002</v>
      </c>
      <c r="Q108">
        <v>0</v>
      </c>
      <c r="Z108">
        <v>2023</v>
      </c>
    </row>
    <row r="109" spans="1:28" x14ac:dyDescent="0.25">
      <c r="A109" t="s">
        <v>880</v>
      </c>
      <c r="B109" t="s">
        <v>881</v>
      </c>
      <c r="C109" t="s">
        <v>882</v>
      </c>
      <c r="D109" t="s">
        <v>375</v>
      </c>
      <c r="E109" t="s">
        <v>348</v>
      </c>
      <c r="F109" t="s">
        <v>348</v>
      </c>
      <c r="G109" t="s">
        <v>397</v>
      </c>
      <c r="H109" t="s">
        <v>398</v>
      </c>
      <c r="I109" t="s">
        <v>403</v>
      </c>
      <c r="J109" t="s">
        <v>404</v>
      </c>
      <c r="K109">
        <v>4200</v>
      </c>
      <c r="L109">
        <v>25.8</v>
      </c>
      <c r="M109" t="s">
        <v>883</v>
      </c>
      <c r="N109">
        <v>10.4322</v>
      </c>
      <c r="O109">
        <v>-84.010599999999997</v>
      </c>
      <c r="P109">
        <v>40</v>
      </c>
      <c r="Q109">
        <v>0</v>
      </c>
      <c r="Z109">
        <v>2022</v>
      </c>
    </row>
    <row r="110" spans="1:28" x14ac:dyDescent="0.25">
      <c r="A110" t="s">
        <v>884</v>
      </c>
      <c r="B110" t="s">
        <v>885</v>
      </c>
      <c r="C110" t="s">
        <v>407</v>
      </c>
      <c r="D110" t="s">
        <v>346</v>
      </c>
      <c r="E110" t="s">
        <v>347</v>
      </c>
      <c r="F110" t="s">
        <v>348</v>
      </c>
      <c r="G110" t="s">
        <v>349</v>
      </c>
      <c r="H110" t="s">
        <v>350</v>
      </c>
      <c r="I110" t="s">
        <v>408</v>
      </c>
      <c r="J110" t="s">
        <v>409</v>
      </c>
      <c r="M110" t="s">
        <v>883</v>
      </c>
      <c r="N110">
        <v>10.418900000000001</v>
      </c>
      <c r="O110">
        <v>-85.473200000000006</v>
      </c>
      <c r="P110">
        <v>18</v>
      </c>
      <c r="Q110">
        <v>4</v>
      </c>
      <c r="R110">
        <v>2015</v>
      </c>
      <c r="S110">
        <v>2018</v>
      </c>
      <c r="T110" t="s">
        <v>886</v>
      </c>
      <c r="U110" t="s">
        <v>887</v>
      </c>
      <c r="Z110">
        <v>2014</v>
      </c>
      <c r="AB110" t="s">
        <v>888</v>
      </c>
    </row>
    <row r="111" spans="1:28" x14ac:dyDescent="0.25">
      <c r="A111" t="s">
        <v>889</v>
      </c>
      <c r="B111" t="s">
        <v>890</v>
      </c>
      <c r="C111" t="s">
        <v>891</v>
      </c>
      <c r="D111" t="s">
        <v>375</v>
      </c>
      <c r="E111" t="s">
        <v>347</v>
      </c>
      <c r="F111" t="s">
        <v>348</v>
      </c>
      <c r="G111" t="s">
        <v>397</v>
      </c>
      <c r="H111" t="s">
        <v>398</v>
      </c>
      <c r="I111" t="s">
        <v>423</v>
      </c>
      <c r="J111" t="s">
        <v>424</v>
      </c>
      <c r="K111">
        <v>3965.57</v>
      </c>
      <c r="L111">
        <v>25.9</v>
      </c>
      <c r="M111" t="s">
        <v>883</v>
      </c>
      <c r="N111">
        <v>10.423299999999999</v>
      </c>
      <c r="O111">
        <v>-84.021100000000004</v>
      </c>
      <c r="P111">
        <v>100</v>
      </c>
      <c r="Q111">
        <v>3</v>
      </c>
      <c r="R111">
        <v>1997</v>
      </c>
      <c r="S111">
        <v>1999</v>
      </c>
      <c r="T111" t="s">
        <v>892</v>
      </c>
      <c r="U111" t="s">
        <v>893</v>
      </c>
      <c r="Z111">
        <v>1998</v>
      </c>
      <c r="AB111" t="s">
        <v>720</v>
      </c>
    </row>
    <row r="112" spans="1:28" x14ac:dyDescent="0.25">
      <c r="A112" t="s">
        <v>894</v>
      </c>
      <c r="B112" t="s">
        <v>895</v>
      </c>
      <c r="C112" t="s">
        <v>407</v>
      </c>
      <c r="D112" t="s">
        <v>375</v>
      </c>
      <c r="E112" t="s">
        <v>348</v>
      </c>
      <c r="F112" t="s">
        <v>348</v>
      </c>
      <c r="G112" t="s">
        <v>349</v>
      </c>
      <c r="H112" t="s">
        <v>350</v>
      </c>
      <c r="I112" t="s">
        <v>408</v>
      </c>
      <c r="J112" t="s">
        <v>409</v>
      </c>
      <c r="M112" t="s">
        <v>883</v>
      </c>
      <c r="N112">
        <v>10.0829</v>
      </c>
      <c r="O112">
        <v>-85.469399999999993</v>
      </c>
      <c r="P112">
        <v>166</v>
      </c>
      <c r="Q112">
        <v>0</v>
      </c>
      <c r="Z112">
        <v>2014</v>
      </c>
    </row>
    <row r="113" spans="1:28" x14ac:dyDescent="0.25">
      <c r="A113" t="s">
        <v>896</v>
      </c>
      <c r="B113" t="s">
        <v>897</v>
      </c>
      <c r="C113" t="s">
        <v>898</v>
      </c>
      <c r="D113" t="s">
        <v>346</v>
      </c>
      <c r="E113" t="s">
        <v>347</v>
      </c>
      <c r="F113" t="s">
        <v>348</v>
      </c>
      <c r="G113" t="s">
        <v>397</v>
      </c>
      <c r="H113" t="s">
        <v>398</v>
      </c>
      <c r="I113" t="s">
        <v>403</v>
      </c>
      <c r="J113" t="s">
        <v>404</v>
      </c>
      <c r="K113">
        <v>4200</v>
      </c>
      <c r="L113">
        <v>23.1</v>
      </c>
      <c r="M113" t="s">
        <v>883</v>
      </c>
      <c r="N113">
        <v>10.3827</v>
      </c>
      <c r="O113">
        <v>-84.620999999999995</v>
      </c>
      <c r="P113">
        <v>538</v>
      </c>
      <c r="Q113">
        <v>5</v>
      </c>
      <c r="R113">
        <v>2014</v>
      </c>
      <c r="S113">
        <v>2018</v>
      </c>
      <c r="T113" t="s">
        <v>899</v>
      </c>
      <c r="U113" t="s">
        <v>900</v>
      </c>
      <c r="Z113">
        <v>2014</v>
      </c>
      <c r="AA113">
        <v>2019</v>
      </c>
      <c r="AB113" t="s">
        <v>901</v>
      </c>
    </row>
    <row r="114" spans="1:28" x14ac:dyDescent="0.25">
      <c r="A114" t="s">
        <v>902</v>
      </c>
      <c r="B114" t="s">
        <v>903</v>
      </c>
      <c r="C114" t="s">
        <v>904</v>
      </c>
      <c r="D114" t="s">
        <v>346</v>
      </c>
      <c r="E114" t="s">
        <v>347</v>
      </c>
      <c r="F114" t="s">
        <v>348</v>
      </c>
      <c r="G114" t="s">
        <v>428</v>
      </c>
      <c r="H114" t="s">
        <v>429</v>
      </c>
      <c r="I114" t="s">
        <v>415</v>
      </c>
      <c r="J114" t="s">
        <v>416</v>
      </c>
      <c r="K114">
        <v>732</v>
      </c>
      <c r="L114">
        <v>24.2</v>
      </c>
      <c r="M114" t="s">
        <v>905</v>
      </c>
      <c r="N114">
        <v>26.9968</v>
      </c>
      <c r="O114">
        <v>-108.78919999999999</v>
      </c>
      <c r="P114">
        <v>367.28399999999999</v>
      </c>
      <c r="Q114">
        <v>4</v>
      </c>
      <c r="R114">
        <v>2015</v>
      </c>
      <c r="S114">
        <v>2018</v>
      </c>
      <c r="T114" t="s">
        <v>886</v>
      </c>
      <c r="U114" t="s">
        <v>906</v>
      </c>
      <c r="Z114">
        <v>2016</v>
      </c>
      <c r="AA114">
        <v>2018</v>
      </c>
      <c r="AB114" t="s">
        <v>907</v>
      </c>
    </row>
    <row r="115" spans="1:28" x14ac:dyDescent="0.25">
      <c r="A115" t="s">
        <v>908</v>
      </c>
      <c r="B115" t="s">
        <v>909</v>
      </c>
      <c r="C115" t="s">
        <v>904</v>
      </c>
      <c r="D115" t="s">
        <v>375</v>
      </c>
      <c r="E115" t="s">
        <v>348</v>
      </c>
      <c r="F115" t="s">
        <v>348</v>
      </c>
      <c r="G115" t="s">
        <v>428</v>
      </c>
      <c r="H115" t="s">
        <v>429</v>
      </c>
      <c r="I115" t="s">
        <v>415</v>
      </c>
      <c r="J115" t="s">
        <v>416</v>
      </c>
      <c r="K115">
        <v>732</v>
      </c>
      <c r="L115">
        <v>24.2</v>
      </c>
      <c r="M115" t="s">
        <v>905</v>
      </c>
      <c r="N115">
        <v>27.0046</v>
      </c>
      <c r="O115">
        <v>-108.7795</v>
      </c>
      <c r="P115">
        <v>384</v>
      </c>
      <c r="Q115">
        <v>0</v>
      </c>
      <c r="Z115">
        <v>2015</v>
      </c>
      <c r="AA115">
        <v>2020</v>
      </c>
    </row>
    <row r="116" spans="1:28" x14ac:dyDescent="0.25">
      <c r="A116" t="s">
        <v>910</v>
      </c>
      <c r="B116" t="s">
        <v>911</v>
      </c>
      <c r="C116" t="s">
        <v>912</v>
      </c>
      <c r="D116" t="s">
        <v>375</v>
      </c>
      <c r="E116" t="s">
        <v>348</v>
      </c>
      <c r="F116" t="s">
        <v>348</v>
      </c>
      <c r="G116" t="s">
        <v>581</v>
      </c>
      <c r="H116" t="s">
        <v>582</v>
      </c>
      <c r="I116" t="s">
        <v>913</v>
      </c>
      <c r="J116" t="s">
        <v>914</v>
      </c>
      <c r="K116">
        <v>476</v>
      </c>
      <c r="L116">
        <v>17.100000000000001</v>
      </c>
      <c r="M116" t="s">
        <v>905</v>
      </c>
      <c r="N116">
        <v>20.716799999999999</v>
      </c>
      <c r="O116">
        <v>-99.941299999999998</v>
      </c>
      <c r="P116">
        <v>2050</v>
      </c>
      <c r="Q116">
        <v>0</v>
      </c>
      <c r="Z116">
        <v>2017</v>
      </c>
      <c r="AA116">
        <v>2018</v>
      </c>
    </row>
    <row r="117" spans="1:28" x14ac:dyDescent="0.25">
      <c r="A117" t="s">
        <v>915</v>
      </c>
      <c r="B117" t="s">
        <v>916</v>
      </c>
      <c r="C117" t="s">
        <v>917</v>
      </c>
      <c r="D117" t="s">
        <v>375</v>
      </c>
      <c r="E117" t="s">
        <v>348</v>
      </c>
      <c r="F117" t="s">
        <v>348</v>
      </c>
      <c r="G117" t="s">
        <v>918</v>
      </c>
      <c r="H117" t="s">
        <v>919</v>
      </c>
      <c r="I117" t="s">
        <v>920</v>
      </c>
      <c r="J117" t="s">
        <v>921</v>
      </c>
      <c r="K117">
        <v>260</v>
      </c>
      <c r="L117">
        <v>23</v>
      </c>
      <c r="M117" t="s">
        <v>905</v>
      </c>
      <c r="N117">
        <v>27.9541</v>
      </c>
      <c r="O117">
        <v>-110.9726</v>
      </c>
      <c r="P117">
        <v>0</v>
      </c>
      <c r="Q117">
        <v>0</v>
      </c>
      <c r="Z117">
        <v>2018</v>
      </c>
    </row>
    <row r="118" spans="1:28" x14ac:dyDescent="0.25">
      <c r="A118" t="s">
        <v>922</v>
      </c>
      <c r="B118" t="s">
        <v>923</v>
      </c>
      <c r="C118" t="s">
        <v>924</v>
      </c>
      <c r="D118" t="s">
        <v>375</v>
      </c>
      <c r="E118" t="s">
        <v>347</v>
      </c>
      <c r="F118" t="s">
        <v>348</v>
      </c>
      <c r="G118" t="s">
        <v>925</v>
      </c>
      <c r="H118" t="s">
        <v>926</v>
      </c>
      <c r="I118" t="s">
        <v>415</v>
      </c>
      <c r="J118" t="s">
        <v>416</v>
      </c>
      <c r="K118">
        <v>281</v>
      </c>
      <c r="L118">
        <v>17</v>
      </c>
      <c r="M118" t="s">
        <v>905</v>
      </c>
      <c r="N118">
        <v>32.029800000000002</v>
      </c>
      <c r="O118">
        <v>-116.6045</v>
      </c>
      <c r="P118">
        <v>409</v>
      </c>
      <c r="Q118">
        <v>3</v>
      </c>
      <c r="R118">
        <v>2015</v>
      </c>
      <c r="S118">
        <v>2017</v>
      </c>
      <c r="T118" t="s">
        <v>927</v>
      </c>
      <c r="U118" t="s">
        <v>928</v>
      </c>
      <c r="Z118">
        <v>2008</v>
      </c>
      <c r="AB118" t="s">
        <v>929</v>
      </c>
    </row>
    <row r="119" spans="1:28" x14ac:dyDescent="0.25">
      <c r="A119" t="s">
        <v>930</v>
      </c>
      <c r="B119" t="s">
        <v>931</v>
      </c>
      <c r="C119" t="s">
        <v>932</v>
      </c>
      <c r="D119" t="s">
        <v>375</v>
      </c>
      <c r="E119" t="s">
        <v>348</v>
      </c>
      <c r="F119" t="s">
        <v>348</v>
      </c>
      <c r="G119" t="s">
        <v>933</v>
      </c>
      <c r="H119" t="s">
        <v>934</v>
      </c>
      <c r="I119" t="s">
        <v>935</v>
      </c>
      <c r="J119" t="s">
        <v>936</v>
      </c>
      <c r="K119">
        <v>457.2</v>
      </c>
      <c r="L119">
        <v>27</v>
      </c>
      <c r="M119" t="s">
        <v>905</v>
      </c>
      <c r="N119">
        <v>31.743400000000001</v>
      </c>
      <c r="O119">
        <v>-106.4316</v>
      </c>
      <c r="P119">
        <v>1123</v>
      </c>
      <c r="Q119">
        <v>0</v>
      </c>
      <c r="Z119">
        <v>2020</v>
      </c>
    </row>
    <row r="120" spans="1:28" x14ac:dyDescent="0.25">
      <c r="A120" t="s">
        <v>937</v>
      </c>
      <c r="B120" t="s">
        <v>938</v>
      </c>
      <c r="C120" t="s">
        <v>939</v>
      </c>
      <c r="D120" t="s">
        <v>375</v>
      </c>
      <c r="E120" t="s">
        <v>348</v>
      </c>
      <c r="F120" t="s">
        <v>348</v>
      </c>
      <c r="G120" t="s">
        <v>581</v>
      </c>
      <c r="H120" t="s">
        <v>582</v>
      </c>
      <c r="I120" t="s">
        <v>415</v>
      </c>
      <c r="J120" t="s">
        <v>416</v>
      </c>
      <c r="K120">
        <v>493</v>
      </c>
      <c r="L120">
        <v>17.5</v>
      </c>
      <c r="M120" t="s">
        <v>905</v>
      </c>
      <c r="N120">
        <v>25.3004</v>
      </c>
      <c r="O120">
        <v>-101.39239999999999</v>
      </c>
      <c r="P120">
        <v>1702</v>
      </c>
      <c r="Q120">
        <v>0</v>
      </c>
      <c r="Z120">
        <v>2019</v>
      </c>
      <c r="AA120">
        <v>2020</v>
      </c>
    </row>
    <row r="121" spans="1:28" x14ac:dyDescent="0.25">
      <c r="A121" t="s">
        <v>940</v>
      </c>
      <c r="B121" t="s">
        <v>941</v>
      </c>
      <c r="C121" t="s">
        <v>942</v>
      </c>
      <c r="D121" t="s">
        <v>375</v>
      </c>
      <c r="E121" t="s">
        <v>347</v>
      </c>
      <c r="F121" t="s">
        <v>348</v>
      </c>
      <c r="G121" t="s">
        <v>581</v>
      </c>
      <c r="H121" t="s">
        <v>582</v>
      </c>
      <c r="I121" t="s">
        <v>920</v>
      </c>
      <c r="J121" t="s">
        <v>921</v>
      </c>
      <c r="K121">
        <v>182</v>
      </c>
      <c r="L121">
        <v>23.6</v>
      </c>
      <c r="M121" t="s">
        <v>905</v>
      </c>
      <c r="N121">
        <v>24.129200000000001</v>
      </c>
      <c r="O121">
        <v>-110.438</v>
      </c>
      <c r="P121">
        <v>21</v>
      </c>
      <c r="Q121">
        <v>5</v>
      </c>
      <c r="R121">
        <v>2004</v>
      </c>
      <c r="S121">
        <v>2008</v>
      </c>
      <c r="T121" t="s">
        <v>943</v>
      </c>
      <c r="U121" t="s">
        <v>944</v>
      </c>
      <c r="Z121">
        <v>2001</v>
      </c>
      <c r="AB121" t="s">
        <v>720</v>
      </c>
    </row>
    <row r="122" spans="1:28" x14ac:dyDescent="0.25">
      <c r="A122" t="s">
        <v>945</v>
      </c>
      <c r="B122" t="s">
        <v>946</v>
      </c>
      <c r="C122" t="s">
        <v>947</v>
      </c>
      <c r="D122" t="s">
        <v>375</v>
      </c>
      <c r="E122" t="s">
        <v>348</v>
      </c>
      <c r="F122" t="s">
        <v>348</v>
      </c>
      <c r="G122" t="s">
        <v>433</v>
      </c>
      <c r="H122" t="s">
        <v>434</v>
      </c>
      <c r="I122" t="s">
        <v>415</v>
      </c>
      <c r="J122" t="s">
        <v>416</v>
      </c>
      <c r="K122">
        <v>496</v>
      </c>
      <c r="L122">
        <v>18.899999999999999</v>
      </c>
      <c r="M122" t="s">
        <v>905</v>
      </c>
      <c r="N122">
        <v>29.959099999999999</v>
      </c>
      <c r="O122">
        <v>-110.4615</v>
      </c>
      <c r="P122">
        <v>1314</v>
      </c>
      <c r="Q122">
        <v>0</v>
      </c>
      <c r="Z122">
        <v>2008</v>
      </c>
      <c r="AA122">
        <v>2013</v>
      </c>
    </row>
    <row r="123" spans="1:28" x14ac:dyDescent="0.25">
      <c r="A123" t="s">
        <v>948</v>
      </c>
      <c r="B123" t="s">
        <v>949</v>
      </c>
      <c r="C123" t="s">
        <v>950</v>
      </c>
      <c r="D123" t="s">
        <v>346</v>
      </c>
      <c r="E123" t="s">
        <v>347</v>
      </c>
      <c r="F123" t="s">
        <v>348</v>
      </c>
      <c r="G123" t="s">
        <v>376</v>
      </c>
      <c r="H123" t="s">
        <v>377</v>
      </c>
      <c r="I123" t="s">
        <v>408</v>
      </c>
      <c r="J123" t="s">
        <v>409</v>
      </c>
      <c r="K123">
        <v>1222</v>
      </c>
      <c r="L123">
        <v>26.2</v>
      </c>
      <c r="M123" t="s">
        <v>905</v>
      </c>
      <c r="N123">
        <v>20.8462</v>
      </c>
      <c r="O123">
        <v>-86.899199999999993</v>
      </c>
      <c r="P123">
        <v>10</v>
      </c>
      <c r="Q123">
        <v>2</v>
      </c>
      <c r="R123">
        <v>2017</v>
      </c>
      <c r="S123">
        <v>2018</v>
      </c>
      <c r="T123" t="s">
        <v>951</v>
      </c>
      <c r="U123" t="s">
        <v>952</v>
      </c>
      <c r="Z123">
        <v>2017</v>
      </c>
      <c r="AA123">
        <v>2018</v>
      </c>
      <c r="AB123" t="s">
        <v>953</v>
      </c>
    </row>
    <row r="124" spans="1:28" x14ac:dyDescent="0.25">
      <c r="A124" t="s">
        <v>954</v>
      </c>
      <c r="B124" t="s">
        <v>955</v>
      </c>
      <c r="C124" t="s">
        <v>947</v>
      </c>
      <c r="D124" t="s">
        <v>375</v>
      </c>
      <c r="E124" t="s">
        <v>347</v>
      </c>
      <c r="F124" t="s">
        <v>348</v>
      </c>
      <c r="G124" t="s">
        <v>433</v>
      </c>
      <c r="H124" t="s">
        <v>434</v>
      </c>
      <c r="I124" t="s">
        <v>415</v>
      </c>
      <c r="J124" t="s">
        <v>416</v>
      </c>
      <c r="K124">
        <v>487</v>
      </c>
      <c r="L124">
        <v>21.4</v>
      </c>
      <c r="M124" t="s">
        <v>905</v>
      </c>
      <c r="N124">
        <v>29.744599999999998</v>
      </c>
      <c r="O124">
        <v>-110.53060000000001</v>
      </c>
      <c r="P124">
        <v>632</v>
      </c>
      <c r="Q124">
        <v>6</v>
      </c>
      <c r="R124">
        <v>2007</v>
      </c>
      <c r="S124">
        <v>2012</v>
      </c>
      <c r="T124" t="s">
        <v>956</v>
      </c>
      <c r="U124" t="s">
        <v>957</v>
      </c>
      <c r="Z124">
        <v>2008</v>
      </c>
      <c r="AA124">
        <v>2014</v>
      </c>
      <c r="AB124" t="s">
        <v>958</v>
      </c>
    </row>
    <row r="125" spans="1:28" x14ac:dyDescent="0.25">
      <c r="A125" t="s">
        <v>959</v>
      </c>
      <c r="B125" t="s">
        <v>960</v>
      </c>
      <c r="C125" t="s">
        <v>947</v>
      </c>
      <c r="D125" t="s">
        <v>375</v>
      </c>
      <c r="E125" t="s">
        <v>348</v>
      </c>
      <c r="F125" t="s">
        <v>348</v>
      </c>
      <c r="G125" t="s">
        <v>376</v>
      </c>
      <c r="H125" t="s">
        <v>377</v>
      </c>
      <c r="I125" t="s">
        <v>920</v>
      </c>
      <c r="J125" t="s">
        <v>921</v>
      </c>
      <c r="K125">
        <v>126</v>
      </c>
      <c r="L125">
        <v>20</v>
      </c>
      <c r="M125" t="s">
        <v>905</v>
      </c>
      <c r="N125">
        <v>29.340800000000002</v>
      </c>
      <c r="O125">
        <v>-112.2796</v>
      </c>
      <c r="P125">
        <v>0</v>
      </c>
      <c r="Q125">
        <v>0</v>
      </c>
      <c r="Z125">
        <v>2014</v>
      </c>
      <c r="AA125">
        <v>2016</v>
      </c>
    </row>
    <row r="126" spans="1:28" x14ac:dyDescent="0.25">
      <c r="A126" t="s">
        <v>961</v>
      </c>
      <c r="B126" t="s">
        <v>962</v>
      </c>
      <c r="C126" t="s">
        <v>963</v>
      </c>
      <c r="D126" t="s">
        <v>346</v>
      </c>
      <c r="E126" t="s">
        <v>347</v>
      </c>
      <c r="F126" t="s">
        <v>347</v>
      </c>
      <c r="G126" t="s">
        <v>428</v>
      </c>
      <c r="H126" t="s">
        <v>429</v>
      </c>
      <c r="I126" t="s">
        <v>415</v>
      </c>
      <c r="J126" t="s">
        <v>416</v>
      </c>
      <c r="K126">
        <v>647</v>
      </c>
      <c r="L126">
        <v>24.3</v>
      </c>
      <c r="M126" t="s">
        <v>905</v>
      </c>
      <c r="N126">
        <v>27.8446</v>
      </c>
      <c r="O126">
        <v>-109.29770000000001</v>
      </c>
      <c r="P126">
        <v>460</v>
      </c>
      <c r="Q126">
        <v>5</v>
      </c>
      <c r="R126">
        <v>2004</v>
      </c>
      <c r="S126">
        <v>2008</v>
      </c>
      <c r="T126" t="s">
        <v>943</v>
      </c>
      <c r="U126" t="s">
        <v>964</v>
      </c>
      <c r="V126">
        <v>2004</v>
      </c>
      <c r="W126">
        <v>2008</v>
      </c>
      <c r="X126" t="s">
        <v>943</v>
      </c>
      <c r="Y126" t="s">
        <v>965</v>
      </c>
      <c r="Z126">
        <v>2004</v>
      </c>
      <c r="AA126">
        <v>2008</v>
      </c>
      <c r="AB126" t="s">
        <v>966</v>
      </c>
    </row>
    <row r="127" spans="1:28" x14ac:dyDescent="0.25">
      <c r="A127" t="s">
        <v>967</v>
      </c>
      <c r="B127" t="s">
        <v>968</v>
      </c>
      <c r="C127" t="s">
        <v>969</v>
      </c>
      <c r="D127" t="s">
        <v>346</v>
      </c>
      <c r="E127" t="s">
        <v>348</v>
      </c>
      <c r="F127" t="s">
        <v>348</v>
      </c>
      <c r="G127" t="s">
        <v>397</v>
      </c>
      <c r="H127" t="s">
        <v>398</v>
      </c>
      <c r="I127" t="s">
        <v>423</v>
      </c>
      <c r="J127" t="s">
        <v>424</v>
      </c>
      <c r="K127">
        <v>2650</v>
      </c>
      <c r="L127">
        <v>26</v>
      </c>
      <c r="M127" t="s">
        <v>970</v>
      </c>
      <c r="N127">
        <v>9.1568000000000005</v>
      </c>
      <c r="O127">
        <v>-79.848600000000005</v>
      </c>
      <c r="P127">
        <v>150</v>
      </c>
      <c r="Q127">
        <v>0</v>
      </c>
      <c r="Z127">
        <v>2012</v>
      </c>
      <c r="AA127">
        <v>2017</v>
      </c>
    </row>
    <row r="128" spans="1:28" x14ac:dyDescent="0.25">
      <c r="A128" t="s">
        <v>971</v>
      </c>
      <c r="B128" t="s">
        <v>968</v>
      </c>
      <c r="C128" t="s">
        <v>972</v>
      </c>
      <c r="D128" t="s">
        <v>346</v>
      </c>
      <c r="E128" t="s">
        <v>348</v>
      </c>
      <c r="F128" t="s">
        <v>348</v>
      </c>
      <c r="G128" t="s">
        <v>397</v>
      </c>
      <c r="H128" t="s">
        <v>398</v>
      </c>
      <c r="I128" t="s">
        <v>423</v>
      </c>
      <c r="J128" t="s">
        <v>424</v>
      </c>
      <c r="K128">
        <v>2650</v>
      </c>
      <c r="L128">
        <v>26</v>
      </c>
      <c r="M128" t="s">
        <v>970</v>
      </c>
      <c r="N128">
        <v>9.1564999999999994</v>
      </c>
      <c r="O128">
        <v>-79.848200000000006</v>
      </c>
      <c r="P128">
        <v>150</v>
      </c>
      <c r="Q128">
        <v>0</v>
      </c>
      <c r="Z128">
        <v>2019</v>
      </c>
    </row>
    <row r="129" spans="1:28" x14ac:dyDescent="0.25">
      <c r="A129" t="s">
        <v>973</v>
      </c>
      <c r="B129" t="s">
        <v>974</v>
      </c>
      <c r="C129" t="s">
        <v>975</v>
      </c>
      <c r="D129" t="s">
        <v>346</v>
      </c>
      <c r="E129" t="s">
        <v>348</v>
      </c>
      <c r="F129" t="s">
        <v>348</v>
      </c>
      <c r="G129" t="s">
        <v>397</v>
      </c>
      <c r="H129" t="s">
        <v>398</v>
      </c>
      <c r="I129" t="s">
        <v>403</v>
      </c>
      <c r="J129" t="s">
        <v>404</v>
      </c>
      <c r="K129">
        <v>2335</v>
      </c>
      <c r="L129">
        <v>25.5</v>
      </c>
      <c r="M129" t="s">
        <v>976</v>
      </c>
      <c r="N129">
        <v>-12.559799999999999</v>
      </c>
      <c r="O129">
        <v>-70.101799999999997</v>
      </c>
      <c r="P129">
        <v>290</v>
      </c>
      <c r="Q129">
        <v>0</v>
      </c>
      <c r="Z129">
        <v>2021</v>
      </c>
    </row>
    <row r="130" spans="1:28" x14ac:dyDescent="0.25">
      <c r="A130" t="s">
        <v>977</v>
      </c>
      <c r="B130" t="s">
        <v>978</v>
      </c>
      <c r="C130" t="s">
        <v>975</v>
      </c>
      <c r="D130" t="s">
        <v>346</v>
      </c>
      <c r="E130" t="s">
        <v>348</v>
      </c>
      <c r="F130" t="s">
        <v>348</v>
      </c>
      <c r="G130" t="s">
        <v>397</v>
      </c>
      <c r="H130" t="s">
        <v>398</v>
      </c>
      <c r="I130" t="s">
        <v>403</v>
      </c>
      <c r="J130" t="s">
        <v>404</v>
      </c>
      <c r="M130" t="s">
        <v>976</v>
      </c>
      <c r="N130">
        <v>-7.1025999999999998</v>
      </c>
      <c r="O130">
        <v>-77.161900000000003</v>
      </c>
      <c r="P130">
        <v>755</v>
      </c>
      <c r="Q130">
        <v>0</v>
      </c>
      <c r="Z130">
        <v>2023</v>
      </c>
    </row>
    <row r="131" spans="1:28" x14ac:dyDescent="0.25">
      <c r="A131" t="s">
        <v>979</v>
      </c>
      <c r="B131" t="s">
        <v>980</v>
      </c>
      <c r="C131" t="s">
        <v>975</v>
      </c>
      <c r="D131" t="s">
        <v>346</v>
      </c>
      <c r="E131" t="s">
        <v>348</v>
      </c>
      <c r="F131" t="s">
        <v>348</v>
      </c>
      <c r="G131" t="s">
        <v>397</v>
      </c>
      <c r="H131" t="s">
        <v>398</v>
      </c>
      <c r="I131" t="s">
        <v>403</v>
      </c>
      <c r="J131" t="s">
        <v>404</v>
      </c>
      <c r="K131">
        <v>2335</v>
      </c>
      <c r="L131">
        <v>25.5</v>
      </c>
      <c r="M131" t="s">
        <v>976</v>
      </c>
      <c r="N131">
        <v>-9.6236999999999995</v>
      </c>
      <c r="O131">
        <v>-74.9315</v>
      </c>
      <c r="P131">
        <v>220</v>
      </c>
      <c r="Q131">
        <v>0</v>
      </c>
      <c r="Z131">
        <v>2023</v>
      </c>
    </row>
    <row r="132" spans="1:28" x14ac:dyDescent="0.25">
      <c r="A132" t="s">
        <v>9</v>
      </c>
      <c r="B132" t="s">
        <v>981</v>
      </c>
      <c r="C132" t="s">
        <v>982</v>
      </c>
      <c r="D132" t="s">
        <v>346</v>
      </c>
      <c r="E132" t="s">
        <v>347</v>
      </c>
      <c r="F132" t="s">
        <v>347</v>
      </c>
      <c r="G132" t="s">
        <v>376</v>
      </c>
      <c r="H132" t="s">
        <v>377</v>
      </c>
      <c r="I132" t="s">
        <v>403</v>
      </c>
      <c r="J132" t="s">
        <v>404</v>
      </c>
      <c r="M132" t="s">
        <v>976</v>
      </c>
      <c r="N132">
        <v>-3.8344</v>
      </c>
      <c r="O132">
        <v>-73.319000000000003</v>
      </c>
      <c r="P132">
        <v>104</v>
      </c>
      <c r="Q132">
        <v>5</v>
      </c>
      <c r="R132">
        <v>2018</v>
      </c>
      <c r="S132">
        <v>2022</v>
      </c>
      <c r="T132" t="s">
        <v>983</v>
      </c>
      <c r="U132" t="s">
        <v>984</v>
      </c>
      <c r="V132">
        <v>2018</v>
      </c>
      <c r="W132">
        <v>2019</v>
      </c>
      <c r="X132" t="s">
        <v>985</v>
      </c>
      <c r="Y132" t="s">
        <v>986</v>
      </c>
      <c r="Z132">
        <v>2018</v>
      </c>
      <c r="AB132" t="s">
        <v>987</v>
      </c>
    </row>
    <row r="133" spans="1:28" x14ac:dyDescent="0.25">
      <c r="A133" t="s">
        <v>988</v>
      </c>
      <c r="B133" t="s">
        <v>989</v>
      </c>
      <c r="C133" t="s">
        <v>975</v>
      </c>
      <c r="D133" t="s">
        <v>375</v>
      </c>
      <c r="E133" t="s">
        <v>348</v>
      </c>
      <c r="F133" t="s">
        <v>348</v>
      </c>
      <c r="G133" t="s">
        <v>479</v>
      </c>
      <c r="H133" t="s">
        <v>480</v>
      </c>
      <c r="I133" t="s">
        <v>403</v>
      </c>
      <c r="J133" t="s">
        <v>404</v>
      </c>
      <c r="K133">
        <v>2335</v>
      </c>
      <c r="L133">
        <v>25.5</v>
      </c>
      <c r="M133" t="s">
        <v>976</v>
      </c>
      <c r="N133">
        <v>-12.8314</v>
      </c>
      <c r="O133">
        <v>-69.283600000000007</v>
      </c>
      <c r="P133">
        <v>214</v>
      </c>
      <c r="Q133">
        <v>0</v>
      </c>
      <c r="Z133">
        <v>2015</v>
      </c>
    </row>
    <row r="134" spans="1:28" x14ac:dyDescent="0.25">
      <c r="A134" t="s">
        <v>990</v>
      </c>
      <c r="B134" t="s">
        <v>991</v>
      </c>
      <c r="C134" t="s">
        <v>992</v>
      </c>
      <c r="D134" t="s">
        <v>346</v>
      </c>
      <c r="E134" t="s">
        <v>347</v>
      </c>
      <c r="F134" t="s">
        <v>348</v>
      </c>
      <c r="G134" t="s">
        <v>397</v>
      </c>
      <c r="H134" t="s">
        <v>398</v>
      </c>
      <c r="I134" t="s">
        <v>423</v>
      </c>
      <c r="J134" t="s">
        <v>424</v>
      </c>
      <c r="K134">
        <v>1168</v>
      </c>
      <c r="L134">
        <v>25</v>
      </c>
      <c r="M134" t="s">
        <v>993</v>
      </c>
      <c r="N134">
        <v>17.9696</v>
      </c>
      <c r="O134">
        <v>-66.868700000000004</v>
      </c>
      <c r="P134">
        <v>143</v>
      </c>
      <c r="Q134">
        <v>6</v>
      </c>
      <c r="R134">
        <v>2018</v>
      </c>
      <c r="S134">
        <v>2023</v>
      </c>
      <c r="T134" t="s">
        <v>369</v>
      </c>
      <c r="U134" t="s">
        <v>994</v>
      </c>
      <c r="Z134">
        <v>2018</v>
      </c>
      <c r="AB134" t="s">
        <v>995</v>
      </c>
    </row>
    <row r="135" spans="1:28" x14ac:dyDescent="0.25">
      <c r="A135" t="s">
        <v>996</v>
      </c>
      <c r="B135" t="s">
        <v>997</v>
      </c>
      <c r="C135" t="s">
        <v>992</v>
      </c>
      <c r="D135" t="s">
        <v>346</v>
      </c>
      <c r="E135" t="s">
        <v>347</v>
      </c>
      <c r="F135" t="s">
        <v>348</v>
      </c>
      <c r="G135" t="s">
        <v>367</v>
      </c>
      <c r="H135" t="s">
        <v>368</v>
      </c>
      <c r="I135" t="s">
        <v>423</v>
      </c>
      <c r="J135" t="s">
        <v>424</v>
      </c>
      <c r="K135">
        <v>1168</v>
      </c>
      <c r="L135">
        <v>25</v>
      </c>
      <c r="M135" t="s">
        <v>993</v>
      </c>
      <c r="N135">
        <v>18.0212</v>
      </c>
      <c r="O135">
        <v>-67.076899999999995</v>
      </c>
      <c r="P135">
        <v>24</v>
      </c>
      <c r="Q135">
        <v>6</v>
      </c>
      <c r="R135">
        <v>2018</v>
      </c>
      <c r="S135">
        <v>2023</v>
      </c>
      <c r="T135" t="s">
        <v>369</v>
      </c>
      <c r="U135" t="s">
        <v>998</v>
      </c>
      <c r="Z135">
        <v>2018</v>
      </c>
      <c r="AB135" t="s">
        <v>999</v>
      </c>
    </row>
    <row r="136" spans="1:28" x14ac:dyDescent="0.25">
      <c r="A136" t="s">
        <v>1000</v>
      </c>
      <c r="B136" t="s">
        <v>1001</v>
      </c>
      <c r="C136" t="s">
        <v>1002</v>
      </c>
      <c r="D136" t="s">
        <v>346</v>
      </c>
      <c r="E136" t="s">
        <v>347</v>
      </c>
      <c r="F136" t="s">
        <v>348</v>
      </c>
      <c r="G136" t="s">
        <v>761</v>
      </c>
      <c r="H136" t="s">
        <v>762</v>
      </c>
      <c r="I136" t="s">
        <v>680</v>
      </c>
      <c r="J136" t="s">
        <v>681</v>
      </c>
      <c r="K136">
        <v>115.1</v>
      </c>
      <c r="L136">
        <v>-11.2</v>
      </c>
      <c r="M136" t="s">
        <v>1003</v>
      </c>
      <c r="N136">
        <v>70.4953</v>
      </c>
      <c r="O136">
        <v>-149.88229999999999</v>
      </c>
      <c r="P136">
        <v>5</v>
      </c>
      <c r="Q136">
        <v>8</v>
      </c>
      <c r="R136">
        <v>2014</v>
      </c>
      <c r="S136">
        <v>2021</v>
      </c>
      <c r="T136" t="s">
        <v>867</v>
      </c>
      <c r="U136" t="s">
        <v>1004</v>
      </c>
      <c r="Z136">
        <v>2014</v>
      </c>
      <c r="AB136" t="s">
        <v>1005</v>
      </c>
    </row>
    <row r="137" spans="1:28" x14ac:dyDescent="0.25">
      <c r="A137" t="s">
        <v>1006</v>
      </c>
      <c r="B137" t="s">
        <v>1007</v>
      </c>
      <c r="C137" t="s">
        <v>1002</v>
      </c>
      <c r="D137" t="s">
        <v>346</v>
      </c>
      <c r="E137" t="s">
        <v>347</v>
      </c>
      <c r="F137" t="s">
        <v>348</v>
      </c>
      <c r="G137" t="s">
        <v>761</v>
      </c>
      <c r="H137" t="s">
        <v>762</v>
      </c>
      <c r="I137" t="s">
        <v>680</v>
      </c>
      <c r="J137" t="s">
        <v>681</v>
      </c>
      <c r="K137">
        <v>115.1</v>
      </c>
      <c r="L137">
        <v>-11.2</v>
      </c>
      <c r="M137" t="s">
        <v>1003</v>
      </c>
      <c r="N137">
        <v>71.324200000000005</v>
      </c>
      <c r="O137">
        <v>-156.61490000000001</v>
      </c>
      <c r="P137">
        <v>4</v>
      </c>
      <c r="Q137">
        <v>10</v>
      </c>
      <c r="R137">
        <v>2011</v>
      </c>
      <c r="S137">
        <v>2020</v>
      </c>
      <c r="T137" t="s">
        <v>1008</v>
      </c>
      <c r="U137" t="s">
        <v>1009</v>
      </c>
      <c r="Z137">
        <v>2012</v>
      </c>
      <c r="AB137" t="s">
        <v>1005</v>
      </c>
    </row>
    <row r="138" spans="1:28" x14ac:dyDescent="0.25">
      <c r="A138" t="s">
        <v>1010</v>
      </c>
      <c r="B138" t="s">
        <v>1011</v>
      </c>
      <c r="C138" t="s">
        <v>1012</v>
      </c>
      <c r="D138" t="s">
        <v>346</v>
      </c>
      <c r="E138" t="s">
        <v>347</v>
      </c>
      <c r="F138" t="s">
        <v>347</v>
      </c>
      <c r="G138" t="s">
        <v>367</v>
      </c>
      <c r="H138" t="s">
        <v>368</v>
      </c>
      <c r="I138" t="s">
        <v>360</v>
      </c>
      <c r="J138" t="s">
        <v>361</v>
      </c>
      <c r="K138">
        <v>889</v>
      </c>
      <c r="L138">
        <v>33.9</v>
      </c>
      <c r="M138" t="s">
        <v>1003</v>
      </c>
      <c r="N138">
        <v>36.819299999999998</v>
      </c>
      <c r="O138">
        <v>-97.819800000000001</v>
      </c>
      <c r="P138">
        <v>335</v>
      </c>
      <c r="Q138">
        <v>3</v>
      </c>
      <c r="R138">
        <v>2015</v>
      </c>
      <c r="S138">
        <v>2017</v>
      </c>
      <c r="T138" t="s">
        <v>927</v>
      </c>
      <c r="U138" t="s">
        <v>1013</v>
      </c>
      <c r="V138">
        <v>2015</v>
      </c>
      <c r="W138">
        <v>2017</v>
      </c>
      <c r="X138" t="s">
        <v>927</v>
      </c>
      <c r="Y138" t="s">
        <v>1014</v>
      </c>
      <c r="Z138">
        <v>2015</v>
      </c>
      <c r="AA138">
        <v>2017</v>
      </c>
      <c r="AB138" t="s">
        <v>1015</v>
      </c>
    </row>
    <row r="139" spans="1:28" x14ac:dyDescent="0.25">
      <c r="A139" t="s">
        <v>1016</v>
      </c>
      <c r="B139" t="s">
        <v>1017</v>
      </c>
      <c r="C139" t="s">
        <v>1002</v>
      </c>
      <c r="D139" t="s">
        <v>346</v>
      </c>
      <c r="E139" t="s">
        <v>348</v>
      </c>
      <c r="F139" t="s">
        <v>348</v>
      </c>
      <c r="G139" t="s">
        <v>446</v>
      </c>
      <c r="H139" t="s">
        <v>447</v>
      </c>
      <c r="I139" t="s">
        <v>360</v>
      </c>
      <c r="J139" t="s">
        <v>361</v>
      </c>
      <c r="M139" t="s">
        <v>1003</v>
      </c>
      <c r="N139">
        <v>36.310600000000001</v>
      </c>
      <c r="O139">
        <v>-97.927999999999997</v>
      </c>
      <c r="P139">
        <v>378.9</v>
      </c>
      <c r="Q139">
        <v>0</v>
      </c>
      <c r="Z139">
        <v>2019</v>
      </c>
    </row>
    <row r="140" spans="1:28" x14ac:dyDescent="0.25">
      <c r="A140" t="s">
        <v>1018</v>
      </c>
      <c r="B140" t="s">
        <v>1019</v>
      </c>
      <c r="C140" t="s">
        <v>1002</v>
      </c>
      <c r="D140" t="s">
        <v>346</v>
      </c>
      <c r="E140" t="s">
        <v>348</v>
      </c>
      <c r="F140" t="s">
        <v>348</v>
      </c>
      <c r="G140" t="s">
        <v>349</v>
      </c>
      <c r="H140" t="s">
        <v>350</v>
      </c>
      <c r="I140" t="s">
        <v>632</v>
      </c>
      <c r="J140" t="s">
        <v>633</v>
      </c>
      <c r="K140">
        <v>965</v>
      </c>
      <c r="L140">
        <v>14.95</v>
      </c>
      <c r="M140" t="s">
        <v>1003</v>
      </c>
      <c r="N140">
        <v>36.377600000000001</v>
      </c>
      <c r="O140">
        <v>-96.069000000000003</v>
      </c>
      <c r="P140">
        <v>306</v>
      </c>
      <c r="Q140">
        <v>0</v>
      </c>
      <c r="Z140">
        <v>2015</v>
      </c>
    </row>
    <row r="141" spans="1:28" x14ac:dyDescent="0.25">
      <c r="A141" t="s">
        <v>1020</v>
      </c>
      <c r="B141" t="s">
        <v>1021</v>
      </c>
      <c r="C141" t="s">
        <v>1012</v>
      </c>
      <c r="D141" t="s">
        <v>346</v>
      </c>
      <c r="E141" t="s">
        <v>347</v>
      </c>
      <c r="F141" t="s">
        <v>347</v>
      </c>
      <c r="G141" t="s">
        <v>349</v>
      </c>
      <c r="H141" t="s">
        <v>350</v>
      </c>
      <c r="I141" t="s">
        <v>360</v>
      </c>
      <c r="J141" t="s">
        <v>361</v>
      </c>
      <c r="K141">
        <v>889</v>
      </c>
      <c r="L141">
        <v>33.9</v>
      </c>
      <c r="M141" t="s">
        <v>1003</v>
      </c>
      <c r="N141">
        <v>36.808500000000002</v>
      </c>
      <c r="O141">
        <v>-97.548900000000003</v>
      </c>
      <c r="P141">
        <v>337</v>
      </c>
      <c r="Q141">
        <v>3</v>
      </c>
      <c r="R141">
        <v>2015</v>
      </c>
      <c r="S141">
        <v>2017</v>
      </c>
      <c r="T141" t="s">
        <v>927</v>
      </c>
      <c r="U141" t="s">
        <v>1022</v>
      </c>
      <c r="V141">
        <v>2016</v>
      </c>
      <c r="W141">
        <v>2017</v>
      </c>
      <c r="X141" t="s">
        <v>1023</v>
      </c>
      <c r="Y141" t="s">
        <v>1024</v>
      </c>
      <c r="Z141">
        <v>2016</v>
      </c>
      <c r="AA141">
        <v>2017</v>
      </c>
      <c r="AB141" t="s">
        <v>1015</v>
      </c>
    </row>
    <row r="142" spans="1:28" x14ac:dyDescent="0.25">
      <c r="A142" t="s">
        <v>1025</v>
      </c>
      <c r="B142" t="s">
        <v>1026</v>
      </c>
      <c r="C142" t="s">
        <v>1027</v>
      </c>
      <c r="D142" t="s">
        <v>346</v>
      </c>
      <c r="E142" t="s">
        <v>348</v>
      </c>
      <c r="F142" t="s">
        <v>348</v>
      </c>
      <c r="G142" t="s">
        <v>367</v>
      </c>
      <c r="H142" t="s">
        <v>368</v>
      </c>
      <c r="I142" t="s">
        <v>360</v>
      </c>
      <c r="J142" t="s">
        <v>361</v>
      </c>
      <c r="K142">
        <v>1410</v>
      </c>
      <c r="L142">
        <v>17.399999999999999</v>
      </c>
      <c r="M142" t="s">
        <v>1003</v>
      </c>
      <c r="N142">
        <v>33.110500000000002</v>
      </c>
      <c r="O142">
        <v>-91.628200000000007</v>
      </c>
      <c r="P142">
        <v>33</v>
      </c>
      <c r="Q142">
        <v>0</v>
      </c>
      <c r="Z142">
        <v>2016</v>
      </c>
      <c r="AA142">
        <v>2017</v>
      </c>
    </row>
    <row r="143" spans="1:28" x14ac:dyDescent="0.25">
      <c r="A143" t="s">
        <v>1028</v>
      </c>
      <c r="B143" t="s">
        <v>1029</v>
      </c>
      <c r="C143" t="s">
        <v>1030</v>
      </c>
      <c r="D143" t="s">
        <v>346</v>
      </c>
      <c r="E143" t="s">
        <v>347</v>
      </c>
      <c r="F143" t="s">
        <v>348</v>
      </c>
      <c r="G143" t="s">
        <v>918</v>
      </c>
      <c r="H143" t="s">
        <v>919</v>
      </c>
      <c r="I143" t="s">
        <v>360</v>
      </c>
      <c r="J143" t="s">
        <v>361</v>
      </c>
      <c r="K143">
        <v>907</v>
      </c>
      <c r="L143">
        <v>11.1</v>
      </c>
      <c r="M143" t="s">
        <v>1003</v>
      </c>
      <c r="N143">
        <v>39.582000000000001</v>
      </c>
      <c r="O143">
        <v>-84.754999999999995</v>
      </c>
      <c r="P143">
        <v>263</v>
      </c>
      <c r="Q143">
        <v>2</v>
      </c>
      <c r="R143">
        <v>2017</v>
      </c>
      <c r="S143">
        <v>2018</v>
      </c>
      <c r="T143" t="s">
        <v>951</v>
      </c>
      <c r="U143" t="s">
        <v>1031</v>
      </c>
      <c r="Z143">
        <v>2017</v>
      </c>
      <c r="AA143">
        <v>2019</v>
      </c>
      <c r="AB143" t="s">
        <v>1032</v>
      </c>
    </row>
    <row r="144" spans="1:28" x14ac:dyDescent="0.25">
      <c r="A144" t="s">
        <v>1033</v>
      </c>
      <c r="B144" t="s">
        <v>1034</v>
      </c>
      <c r="C144" t="s">
        <v>1035</v>
      </c>
      <c r="D144" t="s">
        <v>346</v>
      </c>
      <c r="E144" t="s">
        <v>347</v>
      </c>
      <c r="F144" t="s">
        <v>348</v>
      </c>
      <c r="G144" t="s">
        <v>761</v>
      </c>
      <c r="H144" t="s">
        <v>762</v>
      </c>
      <c r="I144" t="s">
        <v>920</v>
      </c>
      <c r="J144" t="s">
        <v>921</v>
      </c>
      <c r="K144">
        <v>110</v>
      </c>
      <c r="L144">
        <v>17.5</v>
      </c>
      <c r="M144" t="s">
        <v>1003</v>
      </c>
      <c r="N144">
        <v>36.765300000000003</v>
      </c>
      <c r="O144">
        <v>-116.69329999999999</v>
      </c>
      <c r="P144">
        <v>842</v>
      </c>
      <c r="Q144">
        <v>7</v>
      </c>
      <c r="R144">
        <v>2011</v>
      </c>
      <c r="S144">
        <v>2017</v>
      </c>
      <c r="T144" t="s">
        <v>1036</v>
      </c>
      <c r="U144" t="s">
        <v>1037</v>
      </c>
      <c r="Z144">
        <v>2011</v>
      </c>
      <c r="AB144" t="s">
        <v>1038</v>
      </c>
    </row>
    <row r="145" spans="1:28" x14ac:dyDescent="0.25">
      <c r="A145" t="s">
        <v>1039</v>
      </c>
      <c r="B145" t="s">
        <v>1040</v>
      </c>
      <c r="C145" t="s">
        <v>1041</v>
      </c>
      <c r="D145" t="s">
        <v>346</v>
      </c>
      <c r="E145" t="s">
        <v>348</v>
      </c>
      <c r="F145" t="s">
        <v>348</v>
      </c>
      <c r="G145" t="s">
        <v>446</v>
      </c>
      <c r="H145" t="s">
        <v>447</v>
      </c>
      <c r="I145" t="s">
        <v>573</v>
      </c>
      <c r="J145" t="s">
        <v>574</v>
      </c>
      <c r="K145">
        <v>376.4</v>
      </c>
      <c r="L145">
        <v>15.9</v>
      </c>
      <c r="M145" t="s">
        <v>1003</v>
      </c>
      <c r="N145">
        <v>34.3108</v>
      </c>
      <c r="O145">
        <v>-118.92440000000001</v>
      </c>
      <c r="P145">
        <v>300</v>
      </c>
      <c r="Q145">
        <v>0</v>
      </c>
      <c r="Z145">
        <v>2021</v>
      </c>
    </row>
    <row r="146" spans="1:28" x14ac:dyDescent="0.25">
      <c r="A146" t="s">
        <v>1042</v>
      </c>
      <c r="B146" t="s">
        <v>1043</v>
      </c>
      <c r="C146" t="s">
        <v>1044</v>
      </c>
      <c r="D146" t="s">
        <v>346</v>
      </c>
      <c r="E146" t="s">
        <v>347</v>
      </c>
      <c r="F146" t="s">
        <v>347</v>
      </c>
      <c r="G146" t="s">
        <v>479</v>
      </c>
      <c r="H146" t="s">
        <v>480</v>
      </c>
      <c r="M146" t="s">
        <v>1003</v>
      </c>
      <c r="N146">
        <v>33.3825</v>
      </c>
      <c r="O146">
        <v>-81.565299999999993</v>
      </c>
      <c r="P146">
        <v>93</v>
      </c>
      <c r="Q146">
        <v>12</v>
      </c>
      <c r="R146">
        <v>2011</v>
      </c>
      <c r="S146">
        <v>2022</v>
      </c>
      <c r="T146" t="s">
        <v>1045</v>
      </c>
      <c r="U146" t="s">
        <v>1046</v>
      </c>
      <c r="V146">
        <v>2011</v>
      </c>
      <c r="W146">
        <v>2022</v>
      </c>
      <c r="X146" t="s">
        <v>1045</v>
      </c>
      <c r="Y146" t="s">
        <v>1047</v>
      </c>
      <c r="Z146">
        <v>2011</v>
      </c>
      <c r="AA146">
        <v>2021</v>
      </c>
      <c r="AB146" t="s">
        <v>1048</v>
      </c>
    </row>
    <row r="147" spans="1:28" x14ac:dyDescent="0.25">
      <c r="A147" t="s">
        <v>10</v>
      </c>
      <c r="B147" t="s">
        <v>1049</v>
      </c>
      <c r="C147" t="s">
        <v>1050</v>
      </c>
      <c r="D147" t="s">
        <v>346</v>
      </c>
      <c r="E147" t="s">
        <v>347</v>
      </c>
      <c r="F147" t="s">
        <v>347</v>
      </c>
      <c r="G147" t="s">
        <v>376</v>
      </c>
      <c r="H147" t="s">
        <v>377</v>
      </c>
      <c r="I147" t="s">
        <v>481</v>
      </c>
      <c r="J147" t="s">
        <v>482</v>
      </c>
      <c r="M147" t="s">
        <v>1003</v>
      </c>
      <c r="N147">
        <v>46.030799999999999</v>
      </c>
      <c r="O147">
        <v>-89.606700000000004</v>
      </c>
      <c r="Q147">
        <v>10</v>
      </c>
      <c r="R147">
        <v>2015</v>
      </c>
      <c r="S147">
        <v>2024</v>
      </c>
      <c r="T147" t="s">
        <v>1051</v>
      </c>
      <c r="U147" t="s">
        <v>1052</v>
      </c>
      <c r="V147">
        <v>2015</v>
      </c>
      <c r="W147">
        <v>2023</v>
      </c>
      <c r="X147" t="s">
        <v>1053</v>
      </c>
      <c r="Y147" t="s">
        <v>1054</v>
      </c>
      <c r="Z147">
        <v>2015</v>
      </c>
      <c r="AB147" t="s">
        <v>1055</v>
      </c>
    </row>
    <row r="148" spans="1:28" x14ac:dyDescent="0.25">
      <c r="A148" t="s">
        <v>1056</v>
      </c>
      <c r="B148" t="s">
        <v>1057</v>
      </c>
      <c r="C148" t="s">
        <v>1058</v>
      </c>
      <c r="D148" t="s">
        <v>346</v>
      </c>
      <c r="E148" t="s">
        <v>348</v>
      </c>
      <c r="F148" t="s">
        <v>348</v>
      </c>
      <c r="G148" t="s">
        <v>367</v>
      </c>
      <c r="H148" t="s">
        <v>368</v>
      </c>
      <c r="I148" t="s">
        <v>360</v>
      </c>
      <c r="J148" t="s">
        <v>361</v>
      </c>
      <c r="K148">
        <v>940</v>
      </c>
      <c r="L148">
        <v>11.7</v>
      </c>
      <c r="M148" t="s">
        <v>1003</v>
      </c>
      <c r="N148">
        <v>41.701799999999999</v>
      </c>
      <c r="O148">
        <v>-87.996300000000005</v>
      </c>
      <c r="P148">
        <v>232</v>
      </c>
      <c r="Q148">
        <v>0</v>
      </c>
      <c r="Z148">
        <v>2021</v>
      </c>
    </row>
    <row r="149" spans="1:28" x14ac:dyDescent="0.25">
      <c r="A149" t="s">
        <v>1059</v>
      </c>
      <c r="B149" t="s">
        <v>1060</v>
      </c>
      <c r="C149" t="s">
        <v>1061</v>
      </c>
      <c r="D149" t="s">
        <v>346</v>
      </c>
      <c r="E149" t="s">
        <v>347</v>
      </c>
      <c r="F149" t="s">
        <v>348</v>
      </c>
      <c r="G149" t="s">
        <v>581</v>
      </c>
      <c r="H149" t="s">
        <v>582</v>
      </c>
      <c r="M149" t="s">
        <v>1003</v>
      </c>
      <c r="N149">
        <v>68.989999999999995</v>
      </c>
      <c r="O149">
        <v>-150.28</v>
      </c>
      <c r="P149">
        <v>600</v>
      </c>
      <c r="Q149">
        <v>12</v>
      </c>
      <c r="R149">
        <v>2008</v>
      </c>
      <c r="S149">
        <v>2019</v>
      </c>
      <c r="T149" t="s">
        <v>1062</v>
      </c>
      <c r="U149" t="s">
        <v>1063</v>
      </c>
      <c r="Z149">
        <v>2008</v>
      </c>
      <c r="AB149" t="s">
        <v>1064</v>
      </c>
    </row>
    <row r="150" spans="1:28" x14ac:dyDescent="0.25">
      <c r="A150" t="s">
        <v>1065</v>
      </c>
      <c r="B150" t="s">
        <v>1066</v>
      </c>
      <c r="C150" t="s">
        <v>1061</v>
      </c>
      <c r="D150" t="s">
        <v>346</v>
      </c>
      <c r="E150" t="s">
        <v>347</v>
      </c>
      <c r="F150" t="s">
        <v>348</v>
      </c>
      <c r="G150" t="s">
        <v>581</v>
      </c>
      <c r="H150" t="s">
        <v>582</v>
      </c>
      <c r="M150" t="s">
        <v>1003</v>
      </c>
      <c r="N150">
        <v>68.95</v>
      </c>
      <c r="O150">
        <v>-150.21</v>
      </c>
      <c r="P150">
        <v>600</v>
      </c>
      <c r="Q150">
        <v>12</v>
      </c>
      <c r="R150">
        <v>2008</v>
      </c>
      <c r="S150">
        <v>2019</v>
      </c>
      <c r="T150" t="s">
        <v>1062</v>
      </c>
      <c r="U150" t="s">
        <v>1067</v>
      </c>
      <c r="Z150">
        <v>2008</v>
      </c>
      <c r="AB150" t="s">
        <v>1064</v>
      </c>
    </row>
    <row r="151" spans="1:28" x14ac:dyDescent="0.25">
      <c r="A151" t="s">
        <v>1068</v>
      </c>
      <c r="B151" t="s">
        <v>1069</v>
      </c>
      <c r="C151" t="s">
        <v>1061</v>
      </c>
      <c r="D151" t="s">
        <v>346</v>
      </c>
      <c r="E151" t="s">
        <v>347</v>
      </c>
      <c r="F151" t="s">
        <v>348</v>
      </c>
      <c r="G151" t="s">
        <v>581</v>
      </c>
      <c r="H151" t="s">
        <v>582</v>
      </c>
      <c r="M151" t="s">
        <v>1003</v>
      </c>
      <c r="N151">
        <v>68.930000000000007</v>
      </c>
      <c r="O151">
        <v>-150.27000000000001</v>
      </c>
      <c r="P151">
        <v>600</v>
      </c>
      <c r="Q151">
        <v>12</v>
      </c>
      <c r="R151">
        <v>2008</v>
      </c>
      <c r="S151">
        <v>2019</v>
      </c>
      <c r="T151" t="s">
        <v>1062</v>
      </c>
      <c r="U151" t="s">
        <v>1070</v>
      </c>
      <c r="Z151">
        <v>2008</v>
      </c>
      <c r="AB151" t="s">
        <v>1064</v>
      </c>
    </row>
    <row r="152" spans="1:28" x14ac:dyDescent="0.25">
      <c r="A152" t="s">
        <v>1071</v>
      </c>
      <c r="B152" t="s">
        <v>1072</v>
      </c>
      <c r="C152" t="s">
        <v>1073</v>
      </c>
      <c r="D152" t="s">
        <v>346</v>
      </c>
      <c r="E152" t="s">
        <v>348</v>
      </c>
      <c r="F152" t="s">
        <v>348</v>
      </c>
      <c r="G152" t="s">
        <v>479</v>
      </c>
      <c r="H152" t="s">
        <v>480</v>
      </c>
      <c r="I152" t="s">
        <v>481</v>
      </c>
      <c r="J152" t="s">
        <v>482</v>
      </c>
      <c r="K152">
        <v>2.794</v>
      </c>
      <c r="L152">
        <v>9.6999999999999993</v>
      </c>
      <c r="M152" t="s">
        <v>1003</v>
      </c>
      <c r="N152">
        <v>43.251300000000001</v>
      </c>
      <c r="O152">
        <v>-85.764799999999994</v>
      </c>
      <c r="P152">
        <v>270.39999999999998</v>
      </c>
      <c r="Q152">
        <v>0</v>
      </c>
      <c r="Z152">
        <v>2023</v>
      </c>
    </row>
    <row r="153" spans="1:28" x14ac:dyDescent="0.25">
      <c r="A153" t="s">
        <v>1074</v>
      </c>
      <c r="B153" t="s">
        <v>1075</v>
      </c>
      <c r="C153" t="s">
        <v>1076</v>
      </c>
      <c r="D153" t="s">
        <v>346</v>
      </c>
      <c r="E153" t="s">
        <v>347</v>
      </c>
      <c r="F153" t="s">
        <v>347</v>
      </c>
      <c r="G153" t="s">
        <v>367</v>
      </c>
      <c r="H153" t="s">
        <v>368</v>
      </c>
      <c r="I153" t="s">
        <v>1077</v>
      </c>
      <c r="J153" t="s">
        <v>1078</v>
      </c>
      <c r="M153" t="s">
        <v>1003</v>
      </c>
      <c r="N153">
        <v>36.426699999999997</v>
      </c>
      <c r="O153">
        <v>-99.42</v>
      </c>
      <c r="P153">
        <v>611</v>
      </c>
      <c r="Q153">
        <v>4</v>
      </c>
      <c r="R153">
        <v>2009</v>
      </c>
      <c r="S153">
        <v>2012</v>
      </c>
      <c r="T153" t="s">
        <v>1079</v>
      </c>
      <c r="U153" t="s">
        <v>1080</v>
      </c>
      <c r="V153">
        <v>2009</v>
      </c>
      <c r="W153">
        <v>2012</v>
      </c>
      <c r="X153" t="s">
        <v>1079</v>
      </c>
      <c r="Y153" t="s">
        <v>1081</v>
      </c>
      <c r="Z153">
        <v>2009</v>
      </c>
      <c r="AA153">
        <v>2012</v>
      </c>
      <c r="AB153" t="s">
        <v>1082</v>
      </c>
    </row>
    <row r="154" spans="1:28" x14ac:dyDescent="0.25">
      <c r="A154" t="s">
        <v>1083</v>
      </c>
      <c r="B154" t="s">
        <v>1084</v>
      </c>
      <c r="C154" t="s">
        <v>1076</v>
      </c>
      <c r="D154" t="s">
        <v>346</v>
      </c>
      <c r="E154" t="s">
        <v>347</v>
      </c>
      <c r="F154" t="s">
        <v>347</v>
      </c>
      <c r="G154" t="s">
        <v>367</v>
      </c>
      <c r="H154" t="s">
        <v>368</v>
      </c>
      <c r="I154" t="s">
        <v>1077</v>
      </c>
      <c r="J154" t="s">
        <v>1078</v>
      </c>
      <c r="M154" t="s">
        <v>1003</v>
      </c>
      <c r="N154">
        <v>36.635800000000003</v>
      </c>
      <c r="O154">
        <v>-99.597499999999997</v>
      </c>
      <c r="P154">
        <v>646</v>
      </c>
      <c r="Q154">
        <v>4</v>
      </c>
      <c r="R154">
        <v>2009</v>
      </c>
      <c r="S154">
        <v>2012</v>
      </c>
      <c r="T154" t="s">
        <v>1079</v>
      </c>
      <c r="U154" t="s">
        <v>1085</v>
      </c>
      <c r="V154">
        <v>2009</v>
      </c>
      <c r="W154">
        <v>2012</v>
      </c>
      <c r="X154" t="s">
        <v>1079</v>
      </c>
      <c r="Y154" t="s">
        <v>1086</v>
      </c>
      <c r="Z154">
        <v>2009</v>
      </c>
      <c r="AA154">
        <v>2012</v>
      </c>
      <c r="AB154" t="s">
        <v>1082</v>
      </c>
    </row>
    <row r="155" spans="1:28" x14ac:dyDescent="0.25">
      <c r="A155" t="s">
        <v>1087</v>
      </c>
      <c r="B155" t="s">
        <v>1088</v>
      </c>
      <c r="C155" t="s">
        <v>1076</v>
      </c>
      <c r="D155" t="s">
        <v>346</v>
      </c>
      <c r="E155" t="s">
        <v>347</v>
      </c>
      <c r="F155" t="s">
        <v>347</v>
      </c>
      <c r="G155" t="s">
        <v>367</v>
      </c>
      <c r="H155" t="s">
        <v>368</v>
      </c>
      <c r="I155" t="s">
        <v>360</v>
      </c>
      <c r="J155" t="s">
        <v>361</v>
      </c>
      <c r="M155" t="s">
        <v>1003</v>
      </c>
      <c r="N155">
        <v>35.549700000000001</v>
      </c>
      <c r="O155">
        <v>-98.040199999999999</v>
      </c>
      <c r="P155">
        <v>424</v>
      </c>
      <c r="Q155">
        <v>2</v>
      </c>
      <c r="R155">
        <v>2005</v>
      </c>
      <c r="S155">
        <v>2006</v>
      </c>
      <c r="T155" t="s">
        <v>1089</v>
      </c>
      <c r="U155" t="s">
        <v>1090</v>
      </c>
      <c r="V155">
        <v>2005</v>
      </c>
      <c r="W155">
        <v>2006</v>
      </c>
      <c r="X155" t="s">
        <v>1089</v>
      </c>
      <c r="Y155" t="s">
        <v>1091</v>
      </c>
      <c r="Z155">
        <v>2005</v>
      </c>
      <c r="AA155">
        <v>2006</v>
      </c>
      <c r="AB155" t="s">
        <v>1092</v>
      </c>
    </row>
    <row r="156" spans="1:28" x14ac:dyDescent="0.25">
      <c r="A156" t="s">
        <v>1093</v>
      </c>
      <c r="B156" t="s">
        <v>1094</v>
      </c>
      <c r="C156" t="s">
        <v>1076</v>
      </c>
      <c r="D156" t="s">
        <v>346</v>
      </c>
      <c r="E156" t="s">
        <v>347</v>
      </c>
      <c r="F156" t="s">
        <v>347</v>
      </c>
      <c r="G156" t="s">
        <v>367</v>
      </c>
      <c r="H156" t="s">
        <v>368</v>
      </c>
      <c r="I156" t="s">
        <v>360</v>
      </c>
      <c r="J156" t="s">
        <v>361</v>
      </c>
      <c r="M156" t="s">
        <v>1003</v>
      </c>
      <c r="N156">
        <v>35.546500000000002</v>
      </c>
      <c r="O156">
        <v>-98.04</v>
      </c>
      <c r="P156">
        <v>424</v>
      </c>
      <c r="Q156">
        <v>2</v>
      </c>
      <c r="R156">
        <v>2005</v>
      </c>
      <c r="S156">
        <v>2006</v>
      </c>
      <c r="T156" t="s">
        <v>1089</v>
      </c>
      <c r="U156" t="s">
        <v>1095</v>
      </c>
      <c r="V156">
        <v>2005</v>
      </c>
      <c r="W156">
        <v>2006</v>
      </c>
      <c r="X156" t="s">
        <v>1089</v>
      </c>
      <c r="Y156" t="s">
        <v>1096</v>
      </c>
      <c r="Z156">
        <v>2005</v>
      </c>
      <c r="AA156">
        <v>2006</v>
      </c>
      <c r="AB156" t="s">
        <v>1092</v>
      </c>
    </row>
    <row r="157" spans="1:28" x14ac:dyDescent="0.25">
      <c r="A157" t="s">
        <v>11</v>
      </c>
      <c r="B157" t="s">
        <v>1097</v>
      </c>
      <c r="C157" t="s">
        <v>1098</v>
      </c>
      <c r="D157" t="s">
        <v>346</v>
      </c>
      <c r="E157" t="s">
        <v>347</v>
      </c>
      <c r="F157" t="s">
        <v>347</v>
      </c>
      <c r="G157" t="s">
        <v>349</v>
      </c>
      <c r="H157" t="s">
        <v>350</v>
      </c>
      <c r="I157" t="s">
        <v>360</v>
      </c>
      <c r="J157" t="s">
        <v>361</v>
      </c>
      <c r="K157">
        <v>843</v>
      </c>
      <c r="L157">
        <v>14.76</v>
      </c>
      <c r="M157" t="s">
        <v>1003</v>
      </c>
      <c r="N157">
        <v>36.605800000000002</v>
      </c>
      <c r="O157">
        <v>-97.488799999999998</v>
      </c>
      <c r="P157">
        <v>314</v>
      </c>
      <c r="Q157">
        <v>22</v>
      </c>
      <c r="R157">
        <v>2003</v>
      </c>
      <c r="S157">
        <v>2024</v>
      </c>
      <c r="T157" t="s">
        <v>1099</v>
      </c>
      <c r="U157" t="s">
        <v>1100</v>
      </c>
      <c r="V157">
        <v>2003</v>
      </c>
      <c r="W157">
        <v>2023</v>
      </c>
      <c r="X157" t="s">
        <v>1101</v>
      </c>
      <c r="Y157" t="s">
        <v>1102</v>
      </c>
      <c r="Z157">
        <v>2002</v>
      </c>
      <c r="AB157" t="s">
        <v>1103</v>
      </c>
    </row>
    <row r="158" spans="1:28" x14ac:dyDescent="0.25">
      <c r="A158" t="s">
        <v>1104</v>
      </c>
      <c r="B158" t="s">
        <v>1105</v>
      </c>
      <c r="C158" t="s">
        <v>1106</v>
      </c>
      <c r="D158" t="s">
        <v>346</v>
      </c>
      <c r="E158" t="s">
        <v>347</v>
      </c>
      <c r="F158" t="s">
        <v>347</v>
      </c>
      <c r="G158" t="s">
        <v>428</v>
      </c>
      <c r="H158" t="s">
        <v>429</v>
      </c>
      <c r="I158" t="s">
        <v>935</v>
      </c>
      <c r="J158" t="s">
        <v>936</v>
      </c>
      <c r="K158">
        <v>210</v>
      </c>
      <c r="L158">
        <v>18.100000000000001</v>
      </c>
      <c r="M158" t="s">
        <v>1003</v>
      </c>
      <c r="N158">
        <v>36.169699999999999</v>
      </c>
      <c r="O158">
        <v>-120.20099999999999</v>
      </c>
      <c r="P158">
        <v>147</v>
      </c>
      <c r="Q158">
        <v>2</v>
      </c>
      <c r="R158">
        <v>2016</v>
      </c>
      <c r="S158">
        <v>2017</v>
      </c>
      <c r="T158" t="s">
        <v>1023</v>
      </c>
      <c r="U158" t="s">
        <v>1107</v>
      </c>
      <c r="V158">
        <v>2016</v>
      </c>
      <c r="W158">
        <v>2016</v>
      </c>
      <c r="X158">
        <v>2016</v>
      </c>
      <c r="Y158" t="s">
        <v>1108</v>
      </c>
      <c r="Z158">
        <v>2016</v>
      </c>
      <c r="AB158" t="s">
        <v>1109</v>
      </c>
    </row>
    <row r="159" spans="1:28" x14ac:dyDescent="0.25">
      <c r="A159" t="s">
        <v>1110</v>
      </c>
      <c r="B159" t="s">
        <v>1111</v>
      </c>
      <c r="C159" t="s">
        <v>1106</v>
      </c>
      <c r="D159" t="s">
        <v>346</v>
      </c>
      <c r="E159" t="s">
        <v>347</v>
      </c>
      <c r="F159" t="s">
        <v>348</v>
      </c>
      <c r="G159" t="s">
        <v>428</v>
      </c>
      <c r="H159" t="s">
        <v>429</v>
      </c>
      <c r="I159" t="s">
        <v>935</v>
      </c>
      <c r="J159" t="s">
        <v>936</v>
      </c>
      <c r="K159">
        <v>311</v>
      </c>
      <c r="L159">
        <v>16.7</v>
      </c>
      <c r="M159" t="s">
        <v>1003</v>
      </c>
      <c r="N159">
        <v>36.946599999999997</v>
      </c>
      <c r="O159">
        <v>-120.1024</v>
      </c>
      <c r="P159">
        <v>78</v>
      </c>
      <c r="Q159">
        <v>2</v>
      </c>
      <c r="R159">
        <v>2016</v>
      </c>
      <c r="S159">
        <v>2017</v>
      </c>
      <c r="T159" t="s">
        <v>1023</v>
      </c>
      <c r="U159" t="s">
        <v>1112</v>
      </c>
      <c r="Z159">
        <v>2016</v>
      </c>
      <c r="AB159" t="s">
        <v>1109</v>
      </c>
    </row>
    <row r="160" spans="1:28" x14ac:dyDescent="0.25">
      <c r="A160" t="s">
        <v>1113</v>
      </c>
      <c r="B160" t="s">
        <v>1114</v>
      </c>
      <c r="C160" t="s">
        <v>1106</v>
      </c>
      <c r="D160" t="s">
        <v>346</v>
      </c>
      <c r="E160" t="s">
        <v>347</v>
      </c>
      <c r="F160" t="s">
        <v>347</v>
      </c>
      <c r="G160" t="s">
        <v>428</v>
      </c>
      <c r="H160" t="s">
        <v>429</v>
      </c>
      <c r="I160" t="s">
        <v>935</v>
      </c>
      <c r="J160" t="s">
        <v>936</v>
      </c>
      <c r="K160">
        <v>210</v>
      </c>
      <c r="L160">
        <v>18.100000000000001</v>
      </c>
      <c r="M160" t="s">
        <v>1003</v>
      </c>
      <c r="N160">
        <v>36.177700000000002</v>
      </c>
      <c r="O160">
        <v>-120.2026</v>
      </c>
      <c r="P160">
        <v>147</v>
      </c>
      <c r="Q160">
        <v>2</v>
      </c>
      <c r="R160">
        <v>2016</v>
      </c>
      <c r="S160">
        <v>2017</v>
      </c>
      <c r="T160" t="s">
        <v>1023</v>
      </c>
      <c r="U160" t="s">
        <v>1115</v>
      </c>
      <c r="V160">
        <v>2016</v>
      </c>
      <c r="W160">
        <v>2016</v>
      </c>
      <c r="X160">
        <v>2016</v>
      </c>
      <c r="Y160" t="s">
        <v>1116</v>
      </c>
      <c r="Z160">
        <v>2016</v>
      </c>
      <c r="AB160" t="s">
        <v>1109</v>
      </c>
    </row>
    <row r="161" spans="1:28" x14ac:dyDescent="0.25">
      <c r="A161" t="s">
        <v>1117</v>
      </c>
      <c r="B161" t="s">
        <v>1118</v>
      </c>
      <c r="C161" t="s">
        <v>1119</v>
      </c>
      <c r="D161" t="s">
        <v>375</v>
      </c>
      <c r="E161" t="s">
        <v>347</v>
      </c>
      <c r="F161" t="s">
        <v>348</v>
      </c>
      <c r="G161" t="s">
        <v>376</v>
      </c>
      <c r="H161" t="s">
        <v>377</v>
      </c>
      <c r="I161" t="s">
        <v>680</v>
      </c>
      <c r="J161" t="s">
        <v>681</v>
      </c>
      <c r="K161">
        <v>93</v>
      </c>
      <c r="L161">
        <v>-9.6999999999999993</v>
      </c>
      <c r="M161" t="s">
        <v>1003</v>
      </c>
      <c r="N161">
        <v>70.4696</v>
      </c>
      <c r="O161">
        <v>-157.40889999999999</v>
      </c>
      <c r="P161">
        <v>15</v>
      </c>
      <c r="Q161">
        <v>8</v>
      </c>
      <c r="R161">
        <v>1999</v>
      </c>
      <c r="S161">
        <v>2006</v>
      </c>
      <c r="T161" t="s">
        <v>1120</v>
      </c>
      <c r="U161" t="s">
        <v>1121</v>
      </c>
      <c r="Z161">
        <v>1999</v>
      </c>
      <c r="AB161" t="s">
        <v>720</v>
      </c>
    </row>
    <row r="162" spans="1:28" x14ac:dyDescent="0.25">
      <c r="A162" t="s">
        <v>1122</v>
      </c>
      <c r="B162" t="s">
        <v>1123</v>
      </c>
      <c r="C162" t="s">
        <v>1124</v>
      </c>
      <c r="D162" t="s">
        <v>375</v>
      </c>
      <c r="E162" t="s">
        <v>347</v>
      </c>
      <c r="F162" t="s">
        <v>348</v>
      </c>
      <c r="G162" t="s">
        <v>367</v>
      </c>
      <c r="H162" t="s">
        <v>368</v>
      </c>
      <c r="I162" t="s">
        <v>913</v>
      </c>
      <c r="J162" t="s">
        <v>914</v>
      </c>
      <c r="K162">
        <v>438.35</v>
      </c>
      <c r="L162">
        <v>14.85</v>
      </c>
      <c r="M162" t="s">
        <v>1003</v>
      </c>
      <c r="N162">
        <v>31.590699999999998</v>
      </c>
      <c r="O162">
        <v>-110.5104</v>
      </c>
      <c r="P162">
        <v>1469</v>
      </c>
      <c r="Q162">
        <v>10</v>
      </c>
      <c r="R162">
        <v>2002</v>
      </c>
      <c r="S162">
        <v>2011</v>
      </c>
      <c r="T162" t="s">
        <v>462</v>
      </c>
      <c r="U162" t="s">
        <v>1125</v>
      </c>
      <c r="Z162">
        <v>2002</v>
      </c>
      <c r="AB162" t="s">
        <v>720</v>
      </c>
    </row>
    <row r="163" spans="1:28" x14ac:dyDescent="0.25">
      <c r="A163" t="s">
        <v>12</v>
      </c>
      <c r="B163" t="s">
        <v>1126</v>
      </c>
      <c r="C163" t="s">
        <v>1127</v>
      </c>
      <c r="D163" t="s">
        <v>346</v>
      </c>
      <c r="E163" t="s">
        <v>347</v>
      </c>
      <c r="F163" t="s">
        <v>347</v>
      </c>
      <c r="G163" t="s">
        <v>428</v>
      </c>
      <c r="H163" t="s">
        <v>429</v>
      </c>
      <c r="I163" t="s">
        <v>481</v>
      </c>
      <c r="J163" t="s">
        <v>482</v>
      </c>
      <c r="K163">
        <v>1245.77</v>
      </c>
      <c r="L163">
        <v>5.61</v>
      </c>
      <c r="M163" t="s">
        <v>1003</v>
      </c>
      <c r="N163">
        <v>44.064599999999999</v>
      </c>
      <c r="O163">
        <v>-71.2881</v>
      </c>
      <c r="P163">
        <v>272</v>
      </c>
      <c r="Q163">
        <v>21</v>
      </c>
      <c r="R163">
        <v>2004</v>
      </c>
      <c r="S163">
        <v>2024</v>
      </c>
      <c r="T163" t="s">
        <v>1128</v>
      </c>
      <c r="U163" t="s">
        <v>1129</v>
      </c>
      <c r="V163">
        <v>2004</v>
      </c>
      <c r="W163">
        <v>2022</v>
      </c>
      <c r="X163" t="s">
        <v>1130</v>
      </c>
      <c r="Y163" t="s">
        <v>1131</v>
      </c>
      <c r="Z163">
        <v>2004</v>
      </c>
      <c r="AB163" t="s">
        <v>1132</v>
      </c>
    </row>
    <row r="164" spans="1:28" x14ac:dyDescent="0.25">
      <c r="A164" t="s">
        <v>1133</v>
      </c>
      <c r="B164" t="s">
        <v>1134</v>
      </c>
      <c r="C164" t="s">
        <v>1135</v>
      </c>
      <c r="D164" t="s">
        <v>346</v>
      </c>
      <c r="E164" t="s">
        <v>348</v>
      </c>
      <c r="F164" t="s">
        <v>348</v>
      </c>
      <c r="G164" t="s">
        <v>376</v>
      </c>
      <c r="H164" t="s">
        <v>377</v>
      </c>
      <c r="I164" t="s">
        <v>435</v>
      </c>
      <c r="J164" t="s">
        <v>436</v>
      </c>
      <c r="K164">
        <v>1142</v>
      </c>
      <c r="L164">
        <v>22.6</v>
      </c>
      <c r="M164" t="s">
        <v>1003</v>
      </c>
      <c r="N164">
        <v>27.6953</v>
      </c>
      <c r="O164">
        <v>-80.711399999999998</v>
      </c>
      <c r="P164">
        <v>23</v>
      </c>
      <c r="Q164">
        <v>0</v>
      </c>
      <c r="Z164">
        <v>2009</v>
      </c>
      <c r="AA164">
        <v>2014</v>
      </c>
    </row>
    <row r="165" spans="1:28" x14ac:dyDescent="0.25">
      <c r="A165" t="s">
        <v>1136</v>
      </c>
      <c r="B165" t="s">
        <v>1137</v>
      </c>
      <c r="C165" t="s">
        <v>1138</v>
      </c>
      <c r="D165" t="s">
        <v>346</v>
      </c>
      <c r="E165" t="s">
        <v>348</v>
      </c>
      <c r="F165" t="s">
        <v>348</v>
      </c>
      <c r="G165" t="s">
        <v>349</v>
      </c>
      <c r="H165" t="s">
        <v>350</v>
      </c>
      <c r="I165" t="s">
        <v>360</v>
      </c>
      <c r="J165" t="s">
        <v>361</v>
      </c>
      <c r="M165" t="s">
        <v>1003</v>
      </c>
      <c r="N165">
        <v>35.813899999999997</v>
      </c>
      <c r="O165">
        <v>-89.986199999999997</v>
      </c>
      <c r="P165">
        <v>70</v>
      </c>
      <c r="Q165">
        <v>0</v>
      </c>
      <c r="Z165">
        <v>2020</v>
      </c>
    </row>
    <row r="166" spans="1:28" x14ac:dyDescent="0.25">
      <c r="A166" t="s">
        <v>1139</v>
      </c>
      <c r="B166" t="s">
        <v>1140</v>
      </c>
      <c r="C166" t="s">
        <v>1138</v>
      </c>
      <c r="D166" t="s">
        <v>346</v>
      </c>
      <c r="E166" t="s">
        <v>348</v>
      </c>
      <c r="F166" t="s">
        <v>348</v>
      </c>
      <c r="G166" t="s">
        <v>349</v>
      </c>
      <c r="H166" t="s">
        <v>350</v>
      </c>
      <c r="I166" t="s">
        <v>360</v>
      </c>
      <c r="J166" t="s">
        <v>361</v>
      </c>
      <c r="M166" t="s">
        <v>1003</v>
      </c>
      <c r="N166">
        <v>35.810499999999998</v>
      </c>
      <c r="O166">
        <v>-90.019400000000005</v>
      </c>
      <c r="P166">
        <v>70</v>
      </c>
      <c r="Q166">
        <v>0</v>
      </c>
      <c r="Z166">
        <v>2020</v>
      </c>
    </row>
    <row r="167" spans="1:28" x14ac:dyDescent="0.25">
      <c r="A167" t="s">
        <v>1141</v>
      </c>
      <c r="B167" t="s">
        <v>1142</v>
      </c>
      <c r="C167" t="s">
        <v>1138</v>
      </c>
      <c r="D167" t="s">
        <v>346</v>
      </c>
      <c r="E167" t="s">
        <v>348</v>
      </c>
      <c r="F167" t="s">
        <v>348</v>
      </c>
      <c r="G167" t="s">
        <v>349</v>
      </c>
      <c r="H167" t="s">
        <v>350</v>
      </c>
      <c r="I167" t="s">
        <v>360</v>
      </c>
      <c r="J167" t="s">
        <v>361</v>
      </c>
      <c r="M167" t="s">
        <v>1003</v>
      </c>
      <c r="N167">
        <v>35.814</v>
      </c>
      <c r="O167">
        <v>-90.019400000000005</v>
      </c>
      <c r="P167">
        <v>70</v>
      </c>
      <c r="Q167">
        <v>0</v>
      </c>
      <c r="Z167">
        <v>2020</v>
      </c>
    </row>
    <row r="168" spans="1:28" x14ac:dyDescent="0.25">
      <c r="A168" t="s">
        <v>1143</v>
      </c>
      <c r="B168" t="s">
        <v>1144</v>
      </c>
      <c r="C168" t="s">
        <v>1145</v>
      </c>
      <c r="D168" t="s">
        <v>346</v>
      </c>
      <c r="E168" t="s">
        <v>348</v>
      </c>
      <c r="F168" t="s">
        <v>348</v>
      </c>
      <c r="G168" t="s">
        <v>349</v>
      </c>
      <c r="H168" t="s">
        <v>350</v>
      </c>
      <c r="I168" t="s">
        <v>360</v>
      </c>
      <c r="J168" t="s">
        <v>361</v>
      </c>
      <c r="M168" t="s">
        <v>1003</v>
      </c>
      <c r="N168">
        <v>35.808900000000001</v>
      </c>
      <c r="O168">
        <v>-90.032700000000006</v>
      </c>
      <c r="Q168">
        <v>0</v>
      </c>
    </row>
    <row r="169" spans="1:28" x14ac:dyDescent="0.25">
      <c r="A169" t="s">
        <v>1146</v>
      </c>
      <c r="B169" t="s">
        <v>1147</v>
      </c>
      <c r="C169" t="s">
        <v>1145</v>
      </c>
      <c r="D169" t="s">
        <v>346</v>
      </c>
      <c r="E169" t="s">
        <v>348</v>
      </c>
      <c r="F169" t="s">
        <v>348</v>
      </c>
      <c r="G169" t="s">
        <v>349</v>
      </c>
      <c r="H169" t="s">
        <v>350</v>
      </c>
      <c r="I169" t="s">
        <v>360</v>
      </c>
      <c r="J169" t="s">
        <v>361</v>
      </c>
      <c r="M169" t="s">
        <v>1003</v>
      </c>
      <c r="N169">
        <v>35.808900000000001</v>
      </c>
      <c r="O169">
        <v>-90.028400000000005</v>
      </c>
      <c r="Q169">
        <v>0</v>
      </c>
    </row>
    <row r="170" spans="1:28" x14ac:dyDescent="0.25">
      <c r="A170" t="s">
        <v>1148</v>
      </c>
      <c r="B170" t="s">
        <v>1149</v>
      </c>
      <c r="C170" t="s">
        <v>942</v>
      </c>
      <c r="D170" t="s">
        <v>375</v>
      </c>
      <c r="E170" t="s">
        <v>348</v>
      </c>
      <c r="F170" t="s">
        <v>348</v>
      </c>
      <c r="G170" t="s">
        <v>376</v>
      </c>
      <c r="H170" t="s">
        <v>377</v>
      </c>
      <c r="I170" t="s">
        <v>680</v>
      </c>
      <c r="J170" t="s">
        <v>681</v>
      </c>
      <c r="K170">
        <v>72</v>
      </c>
      <c r="L170">
        <v>-11.3</v>
      </c>
      <c r="M170" t="s">
        <v>1003</v>
      </c>
      <c r="N170">
        <v>71.281000000000006</v>
      </c>
      <c r="O170">
        <v>-156.6123</v>
      </c>
      <c r="Q170">
        <v>0</v>
      </c>
      <c r="Z170">
        <v>2000</v>
      </c>
    </row>
    <row r="171" spans="1:28" x14ac:dyDescent="0.25">
      <c r="A171" t="s">
        <v>1150</v>
      </c>
      <c r="B171" t="s">
        <v>1151</v>
      </c>
      <c r="C171" t="s">
        <v>1152</v>
      </c>
      <c r="D171" t="s">
        <v>375</v>
      </c>
      <c r="E171" t="s">
        <v>348</v>
      </c>
      <c r="F171" t="s">
        <v>348</v>
      </c>
      <c r="G171" t="s">
        <v>376</v>
      </c>
      <c r="H171" t="s">
        <v>377</v>
      </c>
      <c r="I171" t="s">
        <v>680</v>
      </c>
      <c r="J171" t="s">
        <v>681</v>
      </c>
      <c r="K171">
        <v>173</v>
      </c>
      <c r="L171">
        <v>-12</v>
      </c>
      <c r="M171" t="s">
        <v>1003</v>
      </c>
      <c r="N171">
        <v>71.280900000000003</v>
      </c>
      <c r="O171">
        <v>-156.59649999999999</v>
      </c>
      <c r="P171">
        <v>4.5999999999999996</v>
      </c>
      <c r="Q171">
        <v>0</v>
      </c>
      <c r="Z171">
        <v>2005</v>
      </c>
    </row>
    <row r="172" spans="1:28" x14ac:dyDescent="0.25">
      <c r="A172" t="s">
        <v>1153</v>
      </c>
      <c r="B172" t="s">
        <v>1154</v>
      </c>
      <c r="C172" t="s">
        <v>1155</v>
      </c>
      <c r="D172" t="s">
        <v>375</v>
      </c>
      <c r="E172" t="s">
        <v>348</v>
      </c>
      <c r="F172" t="s">
        <v>348</v>
      </c>
      <c r="G172" t="s">
        <v>581</v>
      </c>
      <c r="H172" t="s">
        <v>582</v>
      </c>
      <c r="I172" t="s">
        <v>632</v>
      </c>
      <c r="J172" t="s">
        <v>633</v>
      </c>
      <c r="K172">
        <v>188</v>
      </c>
      <c r="L172">
        <v>17.22</v>
      </c>
      <c r="M172" t="s">
        <v>1003</v>
      </c>
      <c r="N172">
        <v>34.1128</v>
      </c>
      <c r="O172">
        <v>-117.7119</v>
      </c>
      <c r="P172">
        <v>410</v>
      </c>
      <c r="Q172">
        <v>0</v>
      </c>
      <c r="Z172">
        <v>2024</v>
      </c>
    </row>
    <row r="173" spans="1:28" x14ac:dyDescent="0.25">
      <c r="A173" t="s">
        <v>1156</v>
      </c>
      <c r="B173" t="s">
        <v>1157</v>
      </c>
      <c r="C173" t="s">
        <v>1158</v>
      </c>
      <c r="D173" t="s">
        <v>346</v>
      </c>
      <c r="E173" t="s">
        <v>348</v>
      </c>
      <c r="F173" t="s">
        <v>348</v>
      </c>
      <c r="G173" t="s">
        <v>433</v>
      </c>
      <c r="H173" t="s">
        <v>434</v>
      </c>
      <c r="I173" t="s">
        <v>632</v>
      </c>
      <c r="J173" t="s">
        <v>633</v>
      </c>
      <c r="K173">
        <v>650</v>
      </c>
      <c r="L173">
        <v>16.5</v>
      </c>
      <c r="M173" t="s">
        <v>1003</v>
      </c>
      <c r="N173">
        <v>39.8125</v>
      </c>
      <c r="O173">
        <v>-121.8135</v>
      </c>
      <c r="P173">
        <v>135</v>
      </c>
      <c r="Q173">
        <v>0</v>
      </c>
      <c r="Z173">
        <v>2023</v>
      </c>
    </row>
    <row r="174" spans="1:28" x14ac:dyDescent="0.25">
      <c r="A174" t="s">
        <v>13</v>
      </c>
      <c r="B174" t="s">
        <v>1159</v>
      </c>
      <c r="C174" t="s">
        <v>1160</v>
      </c>
      <c r="D174" t="s">
        <v>346</v>
      </c>
      <c r="E174" t="s">
        <v>347</v>
      </c>
      <c r="F174" t="s">
        <v>347</v>
      </c>
      <c r="G174" t="s">
        <v>349</v>
      </c>
      <c r="H174" t="s">
        <v>350</v>
      </c>
      <c r="I174" t="s">
        <v>632</v>
      </c>
      <c r="J174" t="s">
        <v>633</v>
      </c>
      <c r="K174">
        <v>338</v>
      </c>
      <c r="L174">
        <v>16</v>
      </c>
      <c r="M174" t="s">
        <v>1003</v>
      </c>
      <c r="N174">
        <v>38.099200000000003</v>
      </c>
      <c r="O174">
        <v>-121.49930000000001</v>
      </c>
      <c r="P174">
        <v>-2.7</v>
      </c>
      <c r="Q174">
        <v>9</v>
      </c>
      <c r="R174">
        <v>2016</v>
      </c>
      <c r="S174">
        <v>2024</v>
      </c>
      <c r="T174" t="s">
        <v>1161</v>
      </c>
      <c r="U174" t="s">
        <v>1162</v>
      </c>
      <c r="V174">
        <v>2016</v>
      </c>
      <c r="W174">
        <v>2021</v>
      </c>
      <c r="X174" t="s">
        <v>1163</v>
      </c>
      <c r="Y174" t="s">
        <v>1164</v>
      </c>
      <c r="Z174">
        <v>2016</v>
      </c>
      <c r="AB174" t="s">
        <v>1165</v>
      </c>
    </row>
    <row r="175" spans="1:28" x14ac:dyDescent="0.25">
      <c r="A175" t="s">
        <v>14</v>
      </c>
      <c r="B175" t="s">
        <v>1166</v>
      </c>
      <c r="C175" t="s">
        <v>1167</v>
      </c>
      <c r="D175" t="s">
        <v>346</v>
      </c>
      <c r="E175" t="s">
        <v>347</v>
      </c>
      <c r="F175" t="s">
        <v>347</v>
      </c>
      <c r="G175" t="s">
        <v>349</v>
      </c>
      <c r="H175" t="s">
        <v>350</v>
      </c>
      <c r="I175" t="s">
        <v>632</v>
      </c>
      <c r="J175" t="s">
        <v>633</v>
      </c>
      <c r="K175">
        <v>338</v>
      </c>
      <c r="L175">
        <v>16</v>
      </c>
      <c r="M175" t="s">
        <v>1003</v>
      </c>
      <c r="N175">
        <v>38.109099999999998</v>
      </c>
      <c r="O175">
        <v>-121.5351</v>
      </c>
      <c r="P175">
        <v>-5</v>
      </c>
      <c r="Q175">
        <v>8</v>
      </c>
      <c r="R175">
        <v>2017</v>
      </c>
      <c r="S175">
        <v>2024</v>
      </c>
      <c r="T175" t="s">
        <v>1168</v>
      </c>
      <c r="U175" t="s">
        <v>1169</v>
      </c>
      <c r="V175">
        <v>2017</v>
      </c>
      <c r="W175">
        <v>2021</v>
      </c>
      <c r="X175" t="s">
        <v>1170</v>
      </c>
      <c r="Y175" t="s">
        <v>1171</v>
      </c>
      <c r="Z175">
        <v>2017</v>
      </c>
      <c r="AB175" t="s">
        <v>1172</v>
      </c>
    </row>
    <row r="176" spans="1:28" x14ac:dyDescent="0.25">
      <c r="A176" t="s">
        <v>1173</v>
      </c>
      <c r="B176" t="s">
        <v>1174</v>
      </c>
      <c r="C176" t="s">
        <v>1124</v>
      </c>
      <c r="D176" t="s">
        <v>375</v>
      </c>
      <c r="E176" t="s">
        <v>347</v>
      </c>
      <c r="F176" t="s">
        <v>348</v>
      </c>
      <c r="G176" t="s">
        <v>367</v>
      </c>
      <c r="H176" t="s">
        <v>368</v>
      </c>
      <c r="I176" t="s">
        <v>1175</v>
      </c>
      <c r="J176" t="s">
        <v>1176</v>
      </c>
      <c r="K176">
        <v>585.76</v>
      </c>
      <c r="L176">
        <v>6.03</v>
      </c>
      <c r="M176" t="s">
        <v>1003</v>
      </c>
      <c r="N176">
        <v>44.345300000000002</v>
      </c>
      <c r="O176">
        <v>-96.836200000000005</v>
      </c>
      <c r="P176">
        <v>510</v>
      </c>
      <c r="Q176">
        <v>7</v>
      </c>
      <c r="R176">
        <v>2004</v>
      </c>
      <c r="S176">
        <v>2010</v>
      </c>
      <c r="T176" t="s">
        <v>1177</v>
      </c>
      <c r="U176" t="s">
        <v>1178</v>
      </c>
      <c r="Z176">
        <v>2004</v>
      </c>
      <c r="AB176" t="s">
        <v>720</v>
      </c>
    </row>
    <row r="177" spans="1:28" x14ac:dyDescent="0.25">
      <c r="A177" t="s">
        <v>1179</v>
      </c>
      <c r="B177" t="s">
        <v>1180</v>
      </c>
      <c r="C177" t="s">
        <v>1124</v>
      </c>
      <c r="D177" t="s">
        <v>375</v>
      </c>
      <c r="E177" t="s">
        <v>347</v>
      </c>
      <c r="F177" t="s">
        <v>348</v>
      </c>
      <c r="G177" t="s">
        <v>513</v>
      </c>
      <c r="H177" t="s">
        <v>514</v>
      </c>
      <c r="I177" t="s">
        <v>481</v>
      </c>
      <c r="J177" t="s">
        <v>482</v>
      </c>
      <c r="K177">
        <v>573.79</v>
      </c>
      <c r="L177">
        <v>6.23</v>
      </c>
      <c r="M177" t="s">
        <v>1003</v>
      </c>
      <c r="N177">
        <v>44.158000000000001</v>
      </c>
      <c r="O177">
        <v>-103.65</v>
      </c>
      <c r="P177">
        <v>1718</v>
      </c>
      <c r="Q177">
        <v>5</v>
      </c>
      <c r="R177">
        <v>2004</v>
      </c>
      <c r="S177">
        <v>2008</v>
      </c>
      <c r="T177" t="s">
        <v>943</v>
      </c>
      <c r="U177" t="s">
        <v>1181</v>
      </c>
      <c r="Z177">
        <v>2003</v>
      </c>
      <c r="AA177">
        <v>2008</v>
      </c>
      <c r="AB177" t="s">
        <v>720</v>
      </c>
    </row>
    <row r="178" spans="1:28" x14ac:dyDescent="0.25">
      <c r="A178" t="s">
        <v>1182</v>
      </c>
      <c r="B178" t="s">
        <v>1183</v>
      </c>
      <c r="C178" t="s">
        <v>1184</v>
      </c>
      <c r="D178" t="s">
        <v>346</v>
      </c>
      <c r="E178" t="s">
        <v>347</v>
      </c>
      <c r="F178" t="s">
        <v>348</v>
      </c>
      <c r="G178" t="s">
        <v>513</v>
      </c>
      <c r="H178" t="s">
        <v>514</v>
      </c>
      <c r="I178" t="s">
        <v>632</v>
      </c>
      <c r="J178" t="s">
        <v>633</v>
      </c>
      <c r="K178">
        <v>1226</v>
      </c>
      <c r="L178">
        <v>11.09</v>
      </c>
      <c r="M178" t="s">
        <v>1003</v>
      </c>
      <c r="N178">
        <v>38.895299999999999</v>
      </c>
      <c r="O178">
        <v>-120.6328</v>
      </c>
      <c r="P178">
        <v>1315</v>
      </c>
      <c r="Q178">
        <v>11</v>
      </c>
      <c r="R178">
        <v>1997</v>
      </c>
      <c r="S178">
        <v>2007</v>
      </c>
      <c r="T178" t="s">
        <v>1185</v>
      </c>
      <c r="U178" t="s">
        <v>1186</v>
      </c>
      <c r="Z178">
        <v>1997</v>
      </c>
      <c r="AA178">
        <v>2006</v>
      </c>
      <c r="AB178" t="s">
        <v>1187</v>
      </c>
    </row>
    <row r="179" spans="1:28" x14ac:dyDescent="0.25">
      <c r="A179" t="s">
        <v>1188</v>
      </c>
      <c r="B179" t="s">
        <v>1189</v>
      </c>
      <c r="C179" t="s">
        <v>1190</v>
      </c>
      <c r="D179" t="s">
        <v>346</v>
      </c>
      <c r="E179" t="s">
        <v>347</v>
      </c>
      <c r="F179" t="s">
        <v>348</v>
      </c>
      <c r="G179" t="s">
        <v>367</v>
      </c>
      <c r="H179" t="s">
        <v>368</v>
      </c>
      <c r="I179" t="s">
        <v>539</v>
      </c>
      <c r="J179" t="s">
        <v>540</v>
      </c>
      <c r="M179" t="s">
        <v>1003</v>
      </c>
      <c r="N179">
        <v>45.783000000000001</v>
      </c>
      <c r="O179">
        <v>-110.77760000000001</v>
      </c>
      <c r="P179">
        <v>2324</v>
      </c>
      <c r="Q179">
        <v>4</v>
      </c>
      <c r="R179">
        <v>2016</v>
      </c>
      <c r="S179">
        <v>2019</v>
      </c>
      <c r="T179" t="s">
        <v>1191</v>
      </c>
      <c r="U179" t="s">
        <v>1192</v>
      </c>
      <c r="Z179">
        <v>2016</v>
      </c>
      <c r="AA179">
        <v>2019</v>
      </c>
      <c r="AB179" t="s">
        <v>1193</v>
      </c>
    </row>
    <row r="180" spans="1:28" x14ac:dyDescent="0.25">
      <c r="A180" t="s">
        <v>1194</v>
      </c>
      <c r="B180" t="s">
        <v>1195</v>
      </c>
      <c r="C180" t="s">
        <v>1196</v>
      </c>
      <c r="D180" t="s">
        <v>375</v>
      </c>
      <c r="E180" t="s">
        <v>347</v>
      </c>
      <c r="F180" t="s">
        <v>348</v>
      </c>
      <c r="G180" t="s">
        <v>513</v>
      </c>
      <c r="H180" t="s">
        <v>514</v>
      </c>
      <c r="I180" t="s">
        <v>1197</v>
      </c>
      <c r="J180" t="s">
        <v>1198</v>
      </c>
      <c r="M180" t="s">
        <v>1003</v>
      </c>
      <c r="N180">
        <v>63.919800000000002</v>
      </c>
      <c r="O180">
        <v>-145.37819999999999</v>
      </c>
      <c r="P180">
        <v>518</v>
      </c>
      <c r="Q180">
        <v>3</v>
      </c>
      <c r="R180">
        <v>2002</v>
      </c>
      <c r="S180">
        <v>2004</v>
      </c>
      <c r="T180" t="s">
        <v>1199</v>
      </c>
      <c r="U180" t="s">
        <v>1200</v>
      </c>
      <c r="Z180">
        <v>2003</v>
      </c>
      <c r="AA180">
        <v>2004</v>
      </c>
      <c r="AB180" t="s">
        <v>720</v>
      </c>
    </row>
    <row r="181" spans="1:28" x14ac:dyDescent="0.25">
      <c r="A181" t="s">
        <v>1201</v>
      </c>
      <c r="B181" t="s">
        <v>1202</v>
      </c>
      <c r="C181" t="s">
        <v>1196</v>
      </c>
      <c r="D181" t="s">
        <v>375</v>
      </c>
      <c r="E181" t="s">
        <v>347</v>
      </c>
      <c r="F181" t="s">
        <v>348</v>
      </c>
      <c r="G181" t="s">
        <v>428</v>
      </c>
      <c r="H181" t="s">
        <v>429</v>
      </c>
      <c r="I181" t="s">
        <v>1197</v>
      </c>
      <c r="J181" t="s">
        <v>1198</v>
      </c>
      <c r="M181" t="s">
        <v>1003</v>
      </c>
      <c r="N181">
        <v>63.919800000000002</v>
      </c>
      <c r="O181">
        <v>-145.37819999999999</v>
      </c>
      <c r="P181">
        <v>410</v>
      </c>
      <c r="Q181">
        <v>3</v>
      </c>
      <c r="R181">
        <v>2002</v>
      </c>
      <c r="S181">
        <v>2004</v>
      </c>
      <c r="T181" t="s">
        <v>1199</v>
      </c>
      <c r="U181" t="s">
        <v>1203</v>
      </c>
      <c r="Z181">
        <v>2003</v>
      </c>
      <c r="AB181" t="s">
        <v>720</v>
      </c>
    </row>
    <row r="182" spans="1:28" x14ac:dyDescent="0.25">
      <c r="A182" t="s">
        <v>1204</v>
      </c>
      <c r="B182" t="s">
        <v>1205</v>
      </c>
      <c r="C182" t="s">
        <v>1196</v>
      </c>
      <c r="D182" t="s">
        <v>375</v>
      </c>
      <c r="E182" t="s">
        <v>347</v>
      </c>
      <c r="F182" t="s">
        <v>348</v>
      </c>
      <c r="G182" t="s">
        <v>581</v>
      </c>
      <c r="H182" t="s">
        <v>582</v>
      </c>
      <c r="I182" t="s">
        <v>1197</v>
      </c>
      <c r="J182" t="s">
        <v>1198</v>
      </c>
      <c r="M182" t="s">
        <v>1003</v>
      </c>
      <c r="N182">
        <v>63.922699999999999</v>
      </c>
      <c r="O182">
        <v>-145.74420000000001</v>
      </c>
      <c r="P182">
        <v>469</v>
      </c>
      <c r="Q182">
        <v>3</v>
      </c>
      <c r="R182">
        <v>2002</v>
      </c>
      <c r="S182">
        <v>2004</v>
      </c>
      <c r="T182" t="s">
        <v>1199</v>
      </c>
      <c r="U182" t="s">
        <v>1206</v>
      </c>
      <c r="Z182">
        <v>2003</v>
      </c>
      <c r="AB182" t="s">
        <v>720</v>
      </c>
    </row>
    <row r="183" spans="1:28" x14ac:dyDescent="0.25">
      <c r="A183" t="s">
        <v>1207</v>
      </c>
      <c r="B183" t="s">
        <v>1208</v>
      </c>
      <c r="C183" t="s">
        <v>1124</v>
      </c>
      <c r="D183" t="s">
        <v>346</v>
      </c>
      <c r="E183" t="s">
        <v>347</v>
      </c>
      <c r="F183" t="s">
        <v>348</v>
      </c>
      <c r="G183" t="s">
        <v>349</v>
      </c>
      <c r="H183" t="s">
        <v>350</v>
      </c>
      <c r="I183" t="s">
        <v>1175</v>
      </c>
      <c r="J183" t="s">
        <v>1176</v>
      </c>
      <c r="K183">
        <v>991.29</v>
      </c>
      <c r="L183">
        <v>11.02</v>
      </c>
      <c r="M183" t="s">
        <v>1003</v>
      </c>
      <c r="N183">
        <v>40.0062</v>
      </c>
      <c r="O183">
        <v>-88.290400000000005</v>
      </c>
      <c r="P183">
        <v>219</v>
      </c>
      <c r="Q183">
        <v>13</v>
      </c>
      <c r="R183">
        <v>1996</v>
      </c>
      <c r="S183">
        <v>2008</v>
      </c>
      <c r="T183" t="s">
        <v>1209</v>
      </c>
      <c r="U183" t="s">
        <v>1210</v>
      </c>
      <c r="Z183">
        <v>1996</v>
      </c>
      <c r="AB183" t="s">
        <v>720</v>
      </c>
    </row>
    <row r="184" spans="1:28" x14ac:dyDescent="0.25">
      <c r="A184" t="s">
        <v>1211</v>
      </c>
      <c r="B184" t="s">
        <v>1212</v>
      </c>
      <c r="C184" t="s">
        <v>1213</v>
      </c>
      <c r="D184" t="s">
        <v>346</v>
      </c>
      <c r="E184" t="s">
        <v>347</v>
      </c>
      <c r="F184" t="s">
        <v>348</v>
      </c>
      <c r="G184" t="s">
        <v>349</v>
      </c>
      <c r="H184" t="s">
        <v>350</v>
      </c>
      <c r="I184" t="s">
        <v>1175</v>
      </c>
      <c r="J184" t="s">
        <v>1176</v>
      </c>
      <c r="K184">
        <v>991.29</v>
      </c>
      <c r="L184">
        <v>11.02</v>
      </c>
      <c r="M184" t="s">
        <v>1003</v>
      </c>
      <c r="N184">
        <v>40.009</v>
      </c>
      <c r="O184">
        <v>-88.29</v>
      </c>
      <c r="P184">
        <v>219</v>
      </c>
      <c r="Q184">
        <v>5</v>
      </c>
      <c r="R184">
        <v>2004</v>
      </c>
      <c r="S184">
        <v>2008</v>
      </c>
      <c r="T184" t="s">
        <v>943</v>
      </c>
      <c r="U184" t="s">
        <v>1214</v>
      </c>
      <c r="Z184">
        <v>2004</v>
      </c>
      <c r="AA184">
        <v>2008</v>
      </c>
      <c r="AB184" t="s">
        <v>720</v>
      </c>
    </row>
    <row r="185" spans="1:28" x14ac:dyDescent="0.25">
      <c r="A185" t="s">
        <v>1215</v>
      </c>
      <c r="B185" t="s">
        <v>1216</v>
      </c>
      <c r="C185" t="s">
        <v>1217</v>
      </c>
      <c r="D185" t="s">
        <v>375</v>
      </c>
      <c r="E185" t="s">
        <v>347</v>
      </c>
      <c r="F185" t="s">
        <v>348</v>
      </c>
      <c r="G185" t="s">
        <v>349</v>
      </c>
      <c r="H185" t="s">
        <v>350</v>
      </c>
      <c r="I185" t="s">
        <v>1175</v>
      </c>
      <c r="J185" t="s">
        <v>1176</v>
      </c>
      <c r="K185">
        <v>842.33</v>
      </c>
      <c r="L185">
        <v>8.9499999999999993</v>
      </c>
      <c r="M185" t="s">
        <v>1003</v>
      </c>
      <c r="N185">
        <v>41.974899999999998</v>
      </c>
      <c r="O185">
        <v>-93.690600000000003</v>
      </c>
      <c r="P185">
        <v>313</v>
      </c>
      <c r="Q185">
        <v>7</v>
      </c>
      <c r="R185">
        <v>2005</v>
      </c>
      <c r="S185">
        <v>2011</v>
      </c>
      <c r="T185" t="s">
        <v>1218</v>
      </c>
      <c r="U185" t="s">
        <v>1219</v>
      </c>
      <c r="Z185">
        <v>2001</v>
      </c>
      <c r="AB185" t="s">
        <v>720</v>
      </c>
    </row>
    <row r="186" spans="1:28" x14ac:dyDescent="0.25">
      <c r="A186" t="s">
        <v>1220</v>
      </c>
      <c r="B186" t="s">
        <v>1221</v>
      </c>
      <c r="C186" t="s">
        <v>1217</v>
      </c>
      <c r="D186" t="s">
        <v>375</v>
      </c>
      <c r="E186" t="s">
        <v>348</v>
      </c>
      <c r="F186" t="s">
        <v>348</v>
      </c>
      <c r="G186" t="s">
        <v>349</v>
      </c>
      <c r="H186" t="s">
        <v>350</v>
      </c>
      <c r="I186" t="s">
        <v>1175</v>
      </c>
      <c r="J186" t="s">
        <v>1176</v>
      </c>
      <c r="K186">
        <v>846.74</v>
      </c>
      <c r="L186">
        <v>8.89</v>
      </c>
      <c r="M186" t="s">
        <v>1003</v>
      </c>
      <c r="N186">
        <v>41.975700000000003</v>
      </c>
      <c r="O186">
        <v>-93.692499999999995</v>
      </c>
      <c r="P186">
        <v>314</v>
      </c>
      <c r="Q186">
        <v>0</v>
      </c>
      <c r="Z186">
        <v>2005</v>
      </c>
    </row>
    <row r="187" spans="1:28" x14ac:dyDescent="0.25">
      <c r="A187" t="s">
        <v>1222</v>
      </c>
      <c r="B187" t="s">
        <v>1223</v>
      </c>
      <c r="C187" t="s">
        <v>1217</v>
      </c>
      <c r="D187" t="s">
        <v>375</v>
      </c>
      <c r="E187" t="s">
        <v>347</v>
      </c>
      <c r="F187" t="s">
        <v>348</v>
      </c>
      <c r="G187" t="s">
        <v>349</v>
      </c>
      <c r="H187" t="s">
        <v>350</v>
      </c>
      <c r="I187" t="s">
        <v>1175</v>
      </c>
      <c r="J187" t="s">
        <v>1176</v>
      </c>
      <c r="K187">
        <v>846.6</v>
      </c>
      <c r="L187">
        <v>8.9</v>
      </c>
      <c r="M187" t="s">
        <v>1003</v>
      </c>
      <c r="N187">
        <v>41.974699999999999</v>
      </c>
      <c r="O187">
        <v>-93.693600000000004</v>
      </c>
      <c r="P187">
        <v>313</v>
      </c>
      <c r="Q187">
        <v>7</v>
      </c>
      <c r="R187">
        <v>2005</v>
      </c>
      <c r="S187">
        <v>2011</v>
      </c>
      <c r="T187" t="s">
        <v>1218</v>
      </c>
      <c r="U187" t="s">
        <v>1224</v>
      </c>
      <c r="Z187">
        <v>2001</v>
      </c>
      <c r="AB187" t="s">
        <v>720</v>
      </c>
    </row>
    <row r="188" spans="1:28" x14ac:dyDescent="0.25">
      <c r="A188" t="s">
        <v>15</v>
      </c>
      <c r="B188" t="s">
        <v>1225</v>
      </c>
      <c r="C188" t="s">
        <v>1226</v>
      </c>
      <c r="D188" t="s">
        <v>346</v>
      </c>
      <c r="E188" t="s">
        <v>347</v>
      </c>
      <c r="F188" t="s">
        <v>347</v>
      </c>
      <c r="G188" t="s">
        <v>367</v>
      </c>
      <c r="H188" t="s">
        <v>368</v>
      </c>
      <c r="I188" t="s">
        <v>360</v>
      </c>
      <c r="J188" t="s">
        <v>361</v>
      </c>
      <c r="K188">
        <v>1200</v>
      </c>
      <c r="L188">
        <v>11.8</v>
      </c>
      <c r="M188" t="s">
        <v>1003</v>
      </c>
      <c r="N188">
        <v>39.216700000000003</v>
      </c>
      <c r="O188">
        <v>-86.540599999999998</v>
      </c>
      <c r="P188">
        <v>180</v>
      </c>
      <c r="Q188">
        <v>5</v>
      </c>
      <c r="R188">
        <v>2016</v>
      </c>
      <c r="S188">
        <v>2020</v>
      </c>
      <c r="T188" t="s">
        <v>1227</v>
      </c>
      <c r="U188" t="s">
        <v>1228</v>
      </c>
      <c r="V188">
        <v>2016</v>
      </c>
      <c r="W188">
        <v>2020</v>
      </c>
      <c r="X188" t="s">
        <v>1227</v>
      </c>
      <c r="Y188" t="s">
        <v>1229</v>
      </c>
      <c r="Z188">
        <v>2016</v>
      </c>
      <c r="AA188">
        <v>2021</v>
      </c>
      <c r="AB188" t="s">
        <v>1230</v>
      </c>
    </row>
    <row r="189" spans="1:28" x14ac:dyDescent="0.25">
      <c r="A189" t="s">
        <v>1231</v>
      </c>
      <c r="B189" t="s">
        <v>1232</v>
      </c>
      <c r="C189" t="s">
        <v>1119</v>
      </c>
      <c r="D189" t="s">
        <v>375</v>
      </c>
      <c r="E189" t="s">
        <v>347</v>
      </c>
      <c r="F189" t="s">
        <v>348</v>
      </c>
      <c r="G189" t="s">
        <v>376</v>
      </c>
      <c r="H189" t="s">
        <v>377</v>
      </c>
      <c r="I189" t="s">
        <v>680</v>
      </c>
      <c r="J189" t="s">
        <v>681</v>
      </c>
      <c r="K189">
        <v>85</v>
      </c>
      <c r="L189">
        <v>-12.6</v>
      </c>
      <c r="M189" t="s">
        <v>1003</v>
      </c>
      <c r="N189">
        <v>71.322500000000005</v>
      </c>
      <c r="O189">
        <v>-156.60919999999999</v>
      </c>
      <c r="P189">
        <v>1</v>
      </c>
      <c r="Q189">
        <v>10</v>
      </c>
      <c r="R189">
        <v>1998</v>
      </c>
      <c r="S189">
        <v>2007</v>
      </c>
      <c r="T189" t="s">
        <v>1233</v>
      </c>
      <c r="U189" t="s">
        <v>1234</v>
      </c>
      <c r="Z189">
        <v>1998</v>
      </c>
      <c r="AB189" t="s">
        <v>720</v>
      </c>
    </row>
    <row r="190" spans="1:28" x14ac:dyDescent="0.25">
      <c r="A190" t="s">
        <v>1235</v>
      </c>
      <c r="B190" t="s">
        <v>1236</v>
      </c>
      <c r="C190" t="s">
        <v>1237</v>
      </c>
      <c r="D190" t="s">
        <v>346</v>
      </c>
      <c r="E190" t="s">
        <v>347</v>
      </c>
      <c r="F190" t="s">
        <v>348</v>
      </c>
      <c r="G190" t="s">
        <v>581</v>
      </c>
      <c r="H190" t="s">
        <v>582</v>
      </c>
      <c r="I190" t="s">
        <v>913</v>
      </c>
      <c r="J190" t="s">
        <v>914</v>
      </c>
      <c r="K190">
        <v>289</v>
      </c>
      <c r="L190">
        <v>7.36</v>
      </c>
      <c r="M190" t="s">
        <v>1003</v>
      </c>
      <c r="N190">
        <v>43.471200000000003</v>
      </c>
      <c r="O190">
        <v>-119.6909</v>
      </c>
      <c r="P190">
        <v>1398</v>
      </c>
      <c r="Q190">
        <v>2</v>
      </c>
      <c r="R190">
        <v>2014</v>
      </c>
      <c r="S190">
        <v>2015</v>
      </c>
      <c r="T190" t="s">
        <v>382</v>
      </c>
      <c r="U190" t="s">
        <v>1238</v>
      </c>
      <c r="Z190">
        <v>2013</v>
      </c>
      <c r="AA190">
        <v>2018</v>
      </c>
      <c r="AB190" t="s">
        <v>1239</v>
      </c>
    </row>
    <row r="191" spans="1:28" x14ac:dyDescent="0.25">
      <c r="A191" t="s">
        <v>1240</v>
      </c>
      <c r="B191" t="s">
        <v>1241</v>
      </c>
      <c r="C191" t="s">
        <v>1242</v>
      </c>
      <c r="D191" t="s">
        <v>375</v>
      </c>
      <c r="E191" t="s">
        <v>348</v>
      </c>
      <c r="F191" t="s">
        <v>348</v>
      </c>
      <c r="G191" t="s">
        <v>376</v>
      </c>
      <c r="H191" t="s">
        <v>377</v>
      </c>
      <c r="I191" t="s">
        <v>481</v>
      </c>
      <c r="J191" t="s">
        <v>482</v>
      </c>
      <c r="K191">
        <v>1195</v>
      </c>
      <c r="L191">
        <v>9.9</v>
      </c>
      <c r="M191" t="s">
        <v>1003</v>
      </c>
      <c r="N191">
        <v>41.729700000000001</v>
      </c>
      <c r="O191">
        <v>-70.364400000000003</v>
      </c>
      <c r="P191">
        <v>0.5</v>
      </c>
      <c r="Q191">
        <v>0</v>
      </c>
      <c r="Z191">
        <v>2017</v>
      </c>
    </row>
    <row r="192" spans="1:28" x14ac:dyDescent="0.25">
      <c r="A192" t="s">
        <v>1243</v>
      </c>
      <c r="B192" t="s">
        <v>1244</v>
      </c>
      <c r="C192" t="s">
        <v>1245</v>
      </c>
      <c r="D192" t="s">
        <v>346</v>
      </c>
      <c r="E192" t="s">
        <v>347</v>
      </c>
      <c r="F192" t="s">
        <v>348</v>
      </c>
      <c r="G192" t="s">
        <v>933</v>
      </c>
      <c r="H192" t="s">
        <v>934</v>
      </c>
      <c r="I192" t="s">
        <v>360</v>
      </c>
      <c r="J192" t="s">
        <v>361</v>
      </c>
      <c r="M192" t="s">
        <v>1003</v>
      </c>
      <c r="N192">
        <v>39.1389</v>
      </c>
      <c r="O192">
        <v>-77.217500000000001</v>
      </c>
      <c r="Q192">
        <v>3</v>
      </c>
      <c r="R192">
        <v>2021</v>
      </c>
      <c r="S192">
        <v>2023</v>
      </c>
      <c r="T192" t="s">
        <v>592</v>
      </c>
      <c r="U192" t="s">
        <v>1246</v>
      </c>
      <c r="Z192">
        <v>2021</v>
      </c>
      <c r="AB192" t="s">
        <v>1247</v>
      </c>
    </row>
    <row r="193" spans="1:28" x14ac:dyDescent="0.25">
      <c r="A193" t="s">
        <v>1248</v>
      </c>
      <c r="B193" t="s">
        <v>1249</v>
      </c>
      <c r="C193" t="s">
        <v>1245</v>
      </c>
      <c r="D193" t="s">
        <v>346</v>
      </c>
      <c r="E193" t="s">
        <v>347</v>
      </c>
      <c r="F193" t="s">
        <v>348</v>
      </c>
      <c r="G193" t="s">
        <v>367</v>
      </c>
      <c r="H193" t="s">
        <v>368</v>
      </c>
      <c r="I193" t="s">
        <v>360</v>
      </c>
      <c r="J193" t="s">
        <v>361</v>
      </c>
      <c r="M193" t="s">
        <v>1003</v>
      </c>
      <c r="N193">
        <v>39.195500000000003</v>
      </c>
      <c r="O193">
        <v>-77.450900000000004</v>
      </c>
      <c r="Q193">
        <v>2</v>
      </c>
      <c r="R193">
        <v>2022</v>
      </c>
      <c r="S193">
        <v>2023</v>
      </c>
      <c r="T193" t="s">
        <v>554</v>
      </c>
      <c r="U193" t="s">
        <v>1250</v>
      </c>
      <c r="Z193">
        <v>2022</v>
      </c>
      <c r="AB193" t="s">
        <v>1247</v>
      </c>
    </row>
    <row r="194" spans="1:28" x14ac:dyDescent="0.25">
      <c r="A194" t="s">
        <v>16</v>
      </c>
      <c r="B194" t="s">
        <v>1251</v>
      </c>
      <c r="C194" t="s">
        <v>1252</v>
      </c>
      <c r="D194" t="s">
        <v>346</v>
      </c>
      <c r="E194" t="s">
        <v>347</v>
      </c>
      <c r="F194" t="s">
        <v>347</v>
      </c>
      <c r="G194" t="s">
        <v>376</v>
      </c>
      <c r="H194" t="s">
        <v>377</v>
      </c>
      <c r="I194" t="s">
        <v>1253</v>
      </c>
      <c r="J194" t="s">
        <v>1254</v>
      </c>
      <c r="K194">
        <v>274</v>
      </c>
      <c r="L194">
        <v>-2.4</v>
      </c>
      <c r="M194" t="s">
        <v>1003</v>
      </c>
      <c r="N194">
        <v>64.695499999999996</v>
      </c>
      <c r="O194">
        <v>-148.32079999999999</v>
      </c>
      <c r="P194">
        <v>100</v>
      </c>
      <c r="Q194">
        <v>14</v>
      </c>
      <c r="R194">
        <v>2011</v>
      </c>
      <c r="S194">
        <v>2024</v>
      </c>
      <c r="T194" t="s">
        <v>1255</v>
      </c>
      <c r="U194" t="s">
        <v>1256</v>
      </c>
      <c r="V194">
        <v>2011</v>
      </c>
      <c r="W194">
        <v>2022</v>
      </c>
      <c r="X194" t="s">
        <v>1045</v>
      </c>
      <c r="Y194" t="s">
        <v>1257</v>
      </c>
      <c r="Z194">
        <v>2011</v>
      </c>
      <c r="AB194" t="s">
        <v>1258</v>
      </c>
    </row>
    <row r="195" spans="1:28" x14ac:dyDescent="0.25">
      <c r="A195" t="s">
        <v>17</v>
      </c>
      <c r="B195" t="s">
        <v>1259</v>
      </c>
      <c r="C195" t="s">
        <v>1252</v>
      </c>
      <c r="D195" t="s">
        <v>346</v>
      </c>
      <c r="E195" t="s">
        <v>347</v>
      </c>
      <c r="F195" t="s">
        <v>347</v>
      </c>
      <c r="G195" t="s">
        <v>376</v>
      </c>
      <c r="H195" t="s">
        <v>377</v>
      </c>
      <c r="I195" t="s">
        <v>1253</v>
      </c>
      <c r="J195" t="s">
        <v>1254</v>
      </c>
      <c r="K195">
        <v>274</v>
      </c>
      <c r="L195">
        <v>-2.4</v>
      </c>
      <c r="M195" t="s">
        <v>1003</v>
      </c>
      <c r="N195">
        <v>64.701300000000003</v>
      </c>
      <c r="O195">
        <v>-148.31209999999999</v>
      </c>
      <c r="P195">
        <v>95</v>
      </c>
      <c r="Q195">
        <v>14</v>
      </c>
      <c r="R195">
        <v>2011</v>
      </c>
      <c r="S195">
        <v>2024</v>
      </c>
      <c r="T195" t="s">
        <v>1255</v>
      </c>
      <c r="U195" t="s">
        <v>1260</v>
      </c>
      <c r="V195">
        <v>2011</v>
      </c>
      <c r="W195">
        <v>2022</v>
      </c>
      <c r="X195" t="s">
        <v>1045</v>
      </c>
      <c r="Y195" t="s">
        <v>1261</v>
      </c>
      <c r="Z195">
        <v>2011</v>
      </c>
      <c r="AB195" t="s">
        <v>1258</v>
      </c>
    </row>
    <row r="196" spans="1:28" x14ac:dyDescent="0.25">
      <c r="A196" t="s">
        <v>1262</v>
      </c>
      <c r="B196" t="s">
        <v>1263</v>
      </c>
      <c r="C196" t="s">
        <v>1264</v>
      </c>
      <c r="D196" t="s">
        <v>346</v>
      </c>
      <c r="E196" t="s">
        <v>348</v>
      </c>
      <c r="F196" t="s">
        <v>348</v>
      </c>
      <c r="G196" t="s">
        <v>376</v>
      </c>
      <c r="H196" t="s">
        <v>377</v>
      </c>
      <c r="I196" t="s">
        <v>1253</v>
      </c>
      <c r="J196" t="s">
        <v>1254</v>
      </c>
      <c r="K196">
        <v>274</v>
      </c>
      <c r="L196">
        <v>-2.4</v>
      </c>
      <c r="M196" t="s">
        <v>1003</v>
      </c>
      <c r="N196">
        <v>64.919399999999996</v>
      </c>
      <c r="O196">
        <v>-147.82220000000001</v>
      </c>
      <c r="P196">
        <v>188</v>
      </c>
      <c r="Q196">
        <v>0</v>
      </c>
      <c r="Z196">
        <v>2017</v>
      </c>
    </row>
    <row r="197" spans="1:28" x14ac:dyDescent="0.25">
      <c r="A197" t="s">
        <v>18</v>
      </c>
      <c r="B197" t="s">
        <v>1265</v>
      </c>
      <c r="C197" t="s">
        <v>1252</v>
      </c>
      <c r="D197" t="s">
        <v>346</v>
      </c>
      <c r="E197" t="s">
        <v>347</v>
      </c>
      <c r="F197" t="s">
        <v>347</v>
      </c>
      <c r="G197" t="s">
        <v>376</v>
      </c>
      <c r="H197" t="s">
        <v>377</v>
      </c>
      <c r="I197" t="s">
        <v>1253</v>
      </c>
      <c r="J197" t="s">
        <v>1254</v>
      </c>
      <c r="K197">
        <v>274</v>
      </c>
      <c r="L197">
        <v>-2.4</v>
      </c>
      <c r="M197" t="s">
        <v>1003</v>
      </c>
      <c r="N197">
        <v>64.693600000000004</v>
      </c>
      <c r="O197">
        <v>-148.33000000000001</v>
      </c>
      <c r="P197">
        <v>100</v>
      </c>
      <c r="Q197">
        <v>7</v>
      </c>
      <c r="R197">
        <v>2018</v>
      </c>
      <c r="S197">
        <v>2024</v>
      </c>
      <c r="T197" t="s">
        <v>1266</v>
      </c>
      <c r="U197" t="s">
        <v>1267</v>
      </c>
      <c r="V197">
        <v>2018</v>
      </c>
      <c r="W197">
        <v>2022</v>
      </c>
      <c r="X197" t="s">
        <v>983</v>
      </c>
      <c r="Y197" t="s">
        <v>1268</v>
      </c>
      <c r="Z197">
        <v>2018</v>
      </c>
      <c r="AB197" t="s">
        <v>1269</v>
      </c>
    </row>
    <row r="198" spans="1:28" x14ac:dyDescent="0.25">
      <c r="A198" t="s">
        <v>19</v>
      </c>
      <c r="B198" t="s">
        <v>1270</v>
      </c>
      <c r="C198" t="s">
        <v>1252</v>
      </c>
      <c r="D198" t="s">
        <v>346</v>
      </c>
      <c r="E198" t="s">
        <v>347</v>
      </c>
      <c r="F198" t="s">
        <v>347</v>
      </c>
      <c r="G198" t="s">
        <v>513</v>
      </c>
      <c r="H198" t="s">
        <v>514</v>
      </c>
      <c r="I198" t="s">
        <v>1253</v>
      </c>
      <c r="J198" t="s">
        <v>1254</v>
      </c>
      <c r="K198">
        <v>274</v>
      </c>
      <c r="L198">
        <v>-2.4</v>
      </c>
      <c r="M198" t="s">
        <v>1003</v>
      </c>
      <c r="N198">
        <v>64.696299999999994</v>
      </c>
      <c r="O198">
        <v>-148.3235</v>
      </c>
      <c r="P198">
        <v>100</v>
      </c>
      <c r="Q198">
        <v>15</v>
      </c>
      <c r="R198">
        <v>2010</v>
      </c>
      <c r="S198">
        <v>2024</v>
      </c>
      <c r="T198" t="s">
        <v>1271</v>
      </c>
      <c r="U198" t="s">
        <v>1272</v>
      </c>
      <c r="V198">
        <v>2010</v>
      </c>
      <c r="W198">
        <v>2021</v>
      </c>
      <c r="X198" t="s">
        <v>1273</v>
      </c>
      <c r="Y198" t="s">
        <v>1274</v>
      </c>
      <c r="Z198">
        <v>2010</v>
      </c>
      <c r="AB198" t="s">
        <v>1258</v>
      </c>
    </row>
    <row r="199" spans="1:28" x14ac:dyDescent="0.25">
      <c r="A199" t="s">
        <v>1275</v>
      </c>
      <c r="B199" t="s">
        <v>1276</v>
      </c>
      <c r="C199" t="s">
        <v>553</v>
      </c>
      <c r="D199" t="s">
        <v>346</v>
      </c>
      <c r="E199" t="s">
        <v>348</v>
      </c>
      <c r="F199" t="s">
        <v>348</v>
      </c>
      <c r="G199" t="s">
        <v>367</v>
      </c>
      <c r="H199" t="s">
        <v>368</v>
      </c>
      <c r="I199" t="s">
        <v>680</v>
      </c>
      <c r="J199" t="s">
        <v>681</v>
      </c>
      <c r="M199" t="s">
        <v>1003</v>
      </c>
      <c r="N199">
        <v>64.861800000000002</v>
      </c>
      <c r="O199">
        <v>-163.7002</v>
      </c>
      <c r="P199">
        <v>35</v>
      </c>
      <c r="Q199">
        <v>0</v>
      </c>
      <c r="Z199">
        <v>2024</v>
      </c>
    </row>
    <row r="200" spans="1:28" x14ac:dyDescent="0.25">
      <c r="A200" t="s">
        <v>1277</v>
      </c>
      <c r="B200" t="s">
        <v>1278</v>
      </c>
      <c r="C200" t="s">
        <v>1124</v>
      </c>
      <c r="D200" t="s">
        <v>375</v>
      </c>
      <c r="E200" t="s">
        <v>347</v>
      </c>
      <c r="F200" t="s">
        <v>348</v>
      </c>
      <c r="G200" t="s">
        <v>367</v>
      </c>
      <c r="H200" t="s">
        <v>368</v>
      </c>
      <c r="I200" t="s">
        <v>351</v>
      </c>
      <c r="J200" t="s">
        <v>352</v>
      </c>
      <c r="K200">
        <v>1317</v>
      </c>
      <c r="L200">
        <v>7.97</v>
      </c>
      <c r="M200" t="s">
        <v>1003</v>
      </c>
      <c r="N200">
        <v>39.063299999999998</v>
      </c>
      <c r="O200">
        <v>-79.4208</v>
      </c>
      <c r="P200">
        <v>994</v>
      </c>
      <c r="Q200">
        <v>7</v>
      </c>
      <c r="R200">
        <v>2004</v>
      </c>
      <c r="S200">
        <v>2010</v>
      </c>
      <c r="T200" t="s">
        <v>1177</v>
      </c>
      <c r="U200" t="s">
        <v>1279</v>
      </c>
      <c r="Z200">
        <v>2004</v>
      </c>
      <c r="AB200" t="s">
        <v>720</v>
      </c>
    </row>
    <row r="201" spans="1:28" x14ac:dyDescent="0.25">
      <c r="A201" t="s">
        <v>1280</v>
      </c>
      <c r="B201" t="s">
        <v>1281</v>
      </c>
      <c r="C201" t="s">
        <v>1190</v>
      </c>
      <c r="D201" t="s">
        <v>346</v>
      </c>
      <c r="E201" t="s">
        <v>347</v>
      </c>
      <c r="F201" t="s">
        <v>348</v>
      </c>
      <c r="G201" t="s">
        <v>349</v>
      </c>
      <c r="H201" t="s">
        <v>350</v>
      </c>
      <c r="I201" t="s">
        <v>481</v>
      </c>
      <c r="J201" t="s">
        <v>482</v>
      </c>
      <c r="K201">
        <v>906.5</v>
      </c>
      <c r="L201">
        <v>7.5</v>
      </c>
      <c r="M201" t="s">
        <v>1003</v>
      </c>
      <c r="N201">
        <v>44.0732</v>
      </c>
      <c r="O201">
        <v>-89.678700000000006</v>
      </c>
      <c r="P201">
        <v>314</v>
      </c>
      <c r="Q201">
        <v>1</v>
      </c>
      <c r="R201">
        <v>2021</v>
      </c>
      <c r="S201">
        <v>2021</v>
      </c>
      <c r="T201">
        <v>2021</v>
      </c>
      <c r="U201" t="s">
        <v>1282</v>
      </c>
      <c r="Z201">
        <v>2021</v>
      </c>
      <c r="AA201">
        <v>2021</v>
      </c>
      <c r="AB201" t="s">
        <v>1283</v>
      </c>
    </row>
    <row r="202" spans="1:28" x14ac:dyDescent="0.25">
      <c r="A202" t="s">
        <v>1284</v>
      </c>
      <c r="B202" t="s">
        <v>1285</v>
      </c>
      <c r="C202" t="s">
        <v>1190</v>
      </c>
      <c r="D202" t="s">
        <v>346</v>
      </c>
      <c r="E202" t="s">
        <v>347</v>
      </c>
      <c r="F202" t="s">
        <v>348</v>
      </c>
      <c r="G202" t="s">
        <v>349</v>
      </c>
      <c r="H202" t="s">
        <v>350</v>
      </c>
      <c r="I202" t="s">
        <v>481</v>
      </c>
      <c r="J202" t="s">
        <v>482</v>
      </c>
      <c r="K202">
        <v>906.5</v>
      </c>
      <c r="L202">
        <v>7.5</v>
      </c>
      <c r="M202" t="s">
        <v>1003</v>
      </c>
      <c r="N202">
        <v>44.103900000000003</v>
      </c>
      <c r="O202">
        <v>-89.619600000000005</v>
      </c>
      <c r="P202">
        <v>320</v>
      </c>
      <c r="Q202">
        <v>1</v>
      </c>
      <c r="R202">
        <v>2021</v>
      </c>
      <c r="S202">
        <v>2021</v>
      </c>
      <c r="T202">
        <v>2021</v>
      </c>
      <c r="U202" t="s">
        <v>1286</v>
      </c>
      <c r="Z202">
        <v>2021</v>
      </c>
      <c r="AA202">
        <v>2021</v>
      </c>
      <c r="AB202" t="s">
        <v>1287</v>
      </c>
    </row>
    <row r="203" spans="1:28" x14ac:dyDescent="0.25">
      <c r="A203" t="s">
        <v>1288</v>
      </c>
      <c r="B203" t="s">
        <v>1289</v>
      </c>
      <c r="C203" t="s">
        <v>1290</v>
      </c>
      <c r="D203" t="s">
        <v>346</v>
      </c>
      <c r="E203" t="s">
        <v>347</v>
      </c>
      <c r="F203" t="s">
        <v>347</v>
      </c>
      <c r="G203" t="s">
        <v>433</v>
      </c>
      <c r="H203" t="s">
        <v>434</v>
      </c>
      <c r="I203" t="s">
        <v>913</v>
      </c>
      <c r="J203" t="s">
        <v>914</v>
      </c>
      <c r="K203">
        <v>348</v>
      </c>
      <c r="L203">
        <v>11.3</v>
      </c>
      <c r="M203" t="s">
        <v>1003</v>
      </c>
      <c r="N203">
        <v>37.524099999999997</v>
      </c>
      <c r="O203">
        <v>-109.7471</v>
      </c>
      <c r="P203">
        <v>1860</v>
      </c>
      <c r="Q203">
        <v>5</v>
      </c>
      <c r="R203">
        <v>2019</v>
      </c>
      <c r="S203">
        <v>2023</v>
      </c>
      <c r="T203" t="s">
        <v>1291</v>
      </c>
      <c r="U203" t="s">
        <v>1292</v>
      </c>
      <c r="V203">
        <v>2019</v>
      </c>
      <c r="W203">
        <v>2023</v>
      </c>
      <c r="X203" t="s">
        <v>1291</v>
      </c>
      <c r="Y203" t="s">
        <v>1293</v>
      </c>
      <c r="Z203">
        <v>2019</v>
      </c>
      <c r="AB203" t="s">
        <v>1294</v>
      </c>
    </row>
    <row r="204" spans="1:28" x14ac:dyDescent="0.25">
      <c r="A204" t="s">
        <v>1295</v>
      </c>
      <c r="B204" t="s">
        <v>1296</v>
      </c>
      <c r="C204" t="s">
        <v>1297</v>
      </c>
      <c r="D204" t="s">
        <v>346</v>
      </c>
      <c r="E204" t="s">
        <v>347</v>
      </c>
      <c r="F204" t="s">
        <v>348</v>
      </c>
      <c r="G204" t="s">
        <v>925</v>
      </c>
      <c r="H204" t="s">
        <v>926</v>
      </c>
      <c r="I204" t="s">
        <v>360</v>
      </c>
      <c r="J204" t="s">
        <v>361</v>
      </c>
      <c r="K204">
        <v>1138</v>
      </c>
      <c r="L204">
        <v>11.04</v>
      </c>
      <c r="M204" t="s">
        <v>1003</v>
      </c>
      <c r="N204">
        <v>39.837899999999998</v>
      </c>
      <c r="O204">
        <v>-74.379099999999994</v>
      </c>
      <c r="P204">
        <v>58</v>
      </c>
      <c r="Q204">
        <v>10</v>
      </c>
      <c r="R204">
        <v>2005</v>
      </c>
      <c r="S204">
        <v>2014</v>
      </c>
      <c r="T204" t="s">
        <v>1298</v>
      </c>
      <c r="U204" t="s">
        <v>1299</v>
      </c>
      <c r="Z204">
        <v>2005</v>
      </c>
      <c r="AB204" t="s">
        <v>720</v>
      </c>
    </row>
    <row r="205" spans="1:28" x14ac:dyDescent="0.25">
      <c r="A205" t="s">
        <v>20</v>
      </c>
      <c r="B205" t="s">
        <v>1300</v>
      </c>
      <c r="C205" t="s">
        <v>1301</v>
      </c>
      <c r="D205" t="s">
        <v>346</v>
      </c>
      <c r="E205" t="s">
        <v>347</v>
      </c>
      <c r="F205" t="s">
        <v>347</v>
      </c>
      <c r="G205" t="s">
        <v>349</v>
      </c>
      <c r="H205" t="s">
        <v>350</v>
      </c>
      <c r="I205" t="s">
        <v>1302</v>
      </c>
      <c r="J205" t="s">
        <v>1303</v>
      </c>
      <c r="K205">
        <v>550</v>
      </c>
      <c r="L205">
        <v>9</v>
      </c>
      <c r="M205" t="s">
        <v>1003</v>
      </c>
      <c r="N205">
        <v>46.781500000000001</v>
      </c>
      <c r="O205">
        <v>-117.0821</v>
      </c>
      <c r="P205">
        <v>794</v>
      </c>
      <c r="Q205">
        <v>5</v>
      </c>
      <c r="R205">
        <v>2017</v>
      </c>
      <c r="S205">
        <v>2021</v>
      </c>
      <c r="T205" t="s">
        <v>1170</v>
      </c>
      <c r="U205" t="s">
        <v>1304</v>
      </c>
      <c r="V205">
        <v>2017</v>
      </c>
      <c r="W205">
        <v>2021</v>
      </c>
      <c r="X205" t="s">
        <v>1170</v>
      </c>
      <c r="Y205" t="s">
        <v>1305</v>
      </c>
      <c r="Z205">
        <v>2017</v>
      </c>
      <c r="AB205" t="s">
        <v>1306</v>
      </c>
    </row>
    <row r="206" spans="1:28" x14ac:dyDescent="0.25">
      <c r="A206" t="s">
        <v>21</v>
      </c>
      <c r="B206" t="s">
        <v>1307</v>
      </c>
      <c r="C206" t="s">
        <v>1308</v>
      </c>
      <c r="D206" t="s">
        <v>346</v>
      </c>
      <c r="E206" t="s">
        <v>347</v>
      </c>
      <c r="F206" t="s">
        <v>347</v>
      </c>
      <c r="G206" t="s">
        <v>349</v>
      </c>
      <c r="H206" t="s">
        <v>350</v>
      </c>
      <c r="I206" t="s">
        <v>1302</v>
      </c>
      <c r="J206" t="s">
        <v>1303</v>
      </c>
      <c r="K206">
        <v>550</v>
      </c>
      <c r="L206">
        <v>9</v>
      </c>
      <c r="M206" t="s">
        <v>1003</v>
      </c>
      <c r="N206">
        <v>46.783999999999999</v>
      </c>
      <c r="O206">
        <v>-117.0908</v>
      </c>
      <c r="P206">
        <v>807</v>
      </c>
      <c r="Q206">
        <v>5</v>
      </c>
      <c r="R206">
        <v>2017</v>
      </c>
      <c r="S206">
        <v>2021</v>
      </c>
      <c r="T206" t="s">
        <v>1170</v>
      </c>
      <c r="U206" t="s">
        <v>1309</v>
      </c>
      <c r="V206">
        <v>2017</v>
      </c>
      <c r="W206">
        <v>2020</v>
      </c>
      <c r="X206" t="s">
        <v>1310</v>
      </c>
      <c r="Y206" t="s">
        <v>1311</v>
      </c>
      <c r="Z206">
        <v>2017</v>
      </c>
      <c r="AB206" t="s">
        <v>1306</v>
      </c>
    </row>
    <row r="207" spans="1:28" x14ac:dyDescent="0.25">
      <c r="A207" t="s">
        <v>22</v>
      </c>
      <c r="B207" t="s">
        <v>1312</v>
      </c>
      <c r="C207" t="s">
        <v>1308</v>
      </c>
      <c r="D207" t="s">
        <v>346</v>
      </c>
      <c r="E207" t="s">
        <v>347</v>
      </c>
      <c r="F207" t="s">
        <v>347</v>
      </c>
      <c r="G207" t="s">
        <v>349</v>
      </c>
      <c r="H207" t="s">
        <v>350</v>
      </c>
      <c r="I207" t="s">
        <v>1302</v>
      </c>
      <c r="J207" t="s">
        <v>1303</v>
      </c>
      <c r="K207">
        <v>550</v>
      </c>
      <c r="L207">
        <v>9</v>
      </c>
      <c r="M207" t="s">
        <v>1003</v>
      </c>
      <c r="N207">
        <v>46.755099999999999</v>
      </c>
      <c r="O207">
        <v>-117.12609999999999</v>
      </c>
      <c r="P207">
        <v>795</v>
      </c>
      <c r="Q207">
        <v>5</v>
      </c>
      <c r="R207">
        <v>2017</v>
      </c>
      <c r="S207">
        <v>2021</v>
      </c>
      <c r="T207" t="s">
        <v>1170</v>
      </c>
      <c r="U207" t="s">
        <v>1313</v>
      </c>
      <c r="V207">
        <v>2017</v>
      </c>
      <c r="W207">
        <v>2021</v>
      </c>
      <c r="X207" t="s">
        <v>1170</v>
      </c>
      <c r="Y207" t="s">
        <v>1314</v>
      </c>
      <c r="Z207">
        <v>2017</v>
      </c>
      <c r="AB207" t="s">
        <v>1306</v>
      </c>
    </row>
    <row r="208" spans="1:28" x14ac:dyDescent="0.25">
      <c r="A208" t="s">
        <v>23</v>
      </c>
      <c r="B208" t="s">
        <v>1315</v>
      </c>
      <c r="C208" t="s">
        <v>1308</v>
      </c>
      <c r="D208" t="s">
        <v>346</v>
      </c>
      <c r="E208" t="s">
        <v>347</v>
      </c>
      <c r="F208" t="s">
        <v>347</v>
      </c>
      <c r="G208" t="s">
        <v>349</v>
      </c>
      <c r="H208" t="s">
        <v>350</v>
      </c>
      <c r="I208" t="s">
        <v>1302</v>
      </c>
      <c r="J208" t="s">
        <v>1303</v>
      </c>
      <c r="K208">
        <v>550</v>
      </c>
      <c r="L208">
        <v>9</v>
      </c>
      <c r="M208" t="s">
        <v>1003</v>
      </c>
      <c r="N208">
        <v>46.751800000000003</v>
      </c>
      <c r="O208">
        <v>-117.1285</v>
      </c>
      <c r="P208">
        <v>795</v>
      </c>
      <c r="Q208">
        <v>5</v>
      </c>
      <c r="R208">
        <v>2017</v>
      </c>
      <c r="S208">
        <v>2021</v>
      </c>
      <c r="T208" t="s">
        <v>1170</v>
      </c>
      <c r="U208" t="s">
        <v>1316</v>
      </c>
      <c r="V208">
        <v>2017</v>
      </c>
      <c r="W208">
        <v>2021</v>
      </c>
      <c r="X208" t="s">
        <v>1170</v>
      </c>
      <c r="Y208" t="s">
        <v>1317</v>
      </c>
      <c r="Z208">
        <v>2017</v>
      </c>
      <c r="AB208" t="s">
        <v>1306</v>
      </c>
    </row>
    <row r="209" spans="1:28" x14ac:dyDescent="0.25">
      <c r="A209" t="s">
        <v>1318</v>
      </c>
      <c r="B209" t="s">
        <v>1319</v>
      </c>
      <c r="C209" t="s">
        <v>1320</v>
      </c>
      <c r="D209" t="s">
        <v>346</v>
      </c>
      <c r="E209" t="s">
        <v>347</v>
      </c>
      <c r="F209" t="s">
        <v>347</v>
      </c>
      <c r="G209" t="s">
        <v>367</v>
      </c>
      <c r="H209" t="s">
        <v>368</v>
      </c>
      <c r="I209" t="s">
        <v>632</v>
      </c>
      <c r="J209" t="s">
        <v>633</v>
      </c>
      <c r="K209">
        <v>419</v>
      </c>
      <c r="L209">
        <v>16</v>
      </c>
      <c r="M209" t="s">
        <v>1003</v>
      </c>
      <c r="N209">
        <v>37.938000000000002</v>
      </c>
      <c r="O209">
        <v>-121.9761</v>
      </c>
      <c r="P209">
        <v>119.5</v>
      </c>
      <c r="Q209">
        <v>4</v>
      </c>
      <c r="R209">
        <v>2019</v>
      </c>
      <c r="S209">
        <v>2022</v>
      </c>
      <c r="T209" t="s">
        <v>1321</v>
      </c>
      <c r="U209" t="s">
        <v>1322</v>
      </c>
      <c r="V209">
        <v>2019</v>
      </c>
      <c r="W209">
        <v>2021</v>
      </c>
      <c r="X209" t="s">
        <v>1323</v>
      </c>
      <c r="Y209" t="s">
        <v>1324</v>
      </c>
      <c r="Z209">
        <v>2019</v>
      </c>
      <c r="AB209" t="s">
        <v>1325</v>
      </c>
    </row>
    <row r="210" spans="1:28" x14ac:dyDescent="0.25">
      <c r="A210" t="s">
        <v>1326</v>
      </c>
      <c r="B210" t="s">
        <v>1327</v>
      </c>
      <c r="C210" t="s">
        <v>1328</v>
      </c>
      <c r="D210" t="s">
        <v>375</v>
      </c>
      <c r="E210" t="s">
        <v>347</v>
      </c>
      <c r="F210" t="s">
        <v>348</v>
      </c>
      <c r="G210" t="s">
        <v>428</v>
      </c>
      <c r="H210" t="s">
        <v>429</v>
      </c>
      <c r="I210" t="s">
        <v>360</v>
      </c>
      <c r="J210" t="s">
        <v>361</v>
      </c>
      <c r="K210">
        <v>1358.85</v>
      </c>
      <c r="L210">
        <v>13.91</v>
      </c>
      <c r="M210" t="s">
        <v>1003</v>
      </c>
      <c r="N210">
        <v>35.931100000000001</v>
      </c>
      <c r="O210">
        <v>-84.332400000000007</v>
      </c>
      <c r="P210">
        <v>286</v>
      </c>
      <c r="Q210">
        <v>6</v>
      </c>
      <c r="R210">
        <v>2005</v>
      </c>
      <c r="S210">
        <v>2010</v>
      </c>
      <c r="T210" t="s">
        <v>1329</v>
      </c>
      <c r="U210" t="s">
        <v>1330</v>
      </c>
      <c r="Z210">
        <v>2005</v>
      </c>
      <c r="AB210" t="s">
        <v>720</v>
      </c>
    </row>
    <row r="211" spans="1:28" x14ac:dyDescent="0.25">
      <c r="A211" t="s">
        <v>1331</v>
      </c>
      <c r="B211" t="s">
        <v>1332</v>
      </c>
      <c r="C211" t="s">
        <v>1333</v>
      </c>
      <c r="D211" t="s">
        <v>346</v>
      </c>
      <c r="E211" t="s">
        <v>347</v>
      </c>
      <c r="F211" t="s">
        <v>348</v>
      </c>
      <c r="G211" t="s">
        <v>446</v>
      </c>
      <c r="H211" t="s">
        <v>447</v>
      </c>
      <c r="I211" t="s">
        <v>481</v>
      </c>
      <c r="J211" t="s">
        <v>482</v>
      </c>
      <c r="K211">
        <v>1050</v>
      </c>
      <c r="L211">
        <v>9.5</v>
      </c>
      <c r="M211" t="s">
        <v>1003</v>
      </c>
      <c r="N211">
        <v>40.636600000000001</v>
      </c>
      <c r="O211">
        <v>-77.942400000000006</v>
      </c>
      <c r="P211">
        <v>244</v>
      </c>
      <c r="Q211">
        <v>4</v>
      </c>
      <c r="R211">
        <v>2017</v>
      </c>
      <c r="S211">
        <v>2020</v>
      </c>
      <c r="T211" t="s">
        <v>1310</v>
      </c>
      <c r="U211" t="s">
        <v>1334</v>
      </c>
      <c r="Z211">
        <v>2017</v>
      </c>
      <c r="AA211">
        <v>2020</v>
      </c>
      <c r="AB211" t="s">
        <v>1335</v>
      </c>
    </row>
    <row r="212" spans="1:28" x14ac:dyDescent="0.25">
      <c r="A212" t="s">
        <v>1336</v>
      </c>
      <c r="B212" t="s">
        <v>1337</v>
      </c>
      <c r="C212" t="s">
        <v>1338</v>
      </c>
      <c r="D212" t="s">
        <v>346</v>
      </c>
      <c r="E212" t="s">
        <v>347</v>
      </c>
      <c r="F212" t="s">
        <v>348</v>
      </c>
      <c r="G212" t="s">
        <v>376</v>
      </c>
      <c r="H212" t="s">
        <v>377</v>
      </c>
      <c r="I212" t="s">
        <v>680</v>
      </c>
      <c r="J212" t="s">
        <v>681</v>
      </c>
      <c r="K212">
        <v>274</v>
      </c>
      <c r="L212">
        <v>-12.6</v>
      </c>
      <c r="M212" t="s">
        <v>1003</v>
      </c>
      <c r="N212">
        <v>71.3202</v>
      </c>
      <c r="O212">
        <v>-156.6223</v>
      </c>
      <c r="P212">
        <v>6</v>
      </c>
      <c r="Q212">
        <v>2</v>
      </c>
      <c r="R212">
        <v>1999</v>
      </c>
      <c r="S212">
        <v>2000</v>
      </c>
      <c r="T212" t="s">
        <v>1339</v>
      </c>
      <c r="U212" t="s">
        <v>1340</v>
      </c>
      <c r="Z212">
        <v>1999</v>
      </c>
      <c r="AA212">
        <v>2005</v>
      </c>
      <c r="AB212" t="s">
        <v>1341</v>
      </c>
    </row>
    <row r="213" spans="1:28" x14ac:dyDescent="0.25">
      <c r="A213" t="s">
        <v>1342</v>
      </c>
      <c r="B213" t="s">
        <v>1343</v>
      </c>
      <c r="C213" t="s">
        <v>1344</v>
      </c>
      <c r="D213" t="s">
        <v>346</v>
      </c>
      <c r="E213" t="s">
        <v>347</v>
      </c>
      <c r="F213" t="s">
        <v>348</v>
      </c>
      <c r="G213" t="s">
        <v>428</v>
      </c>
      <c r="H213" t="s">
        <v>429</v>
      </c>
      <c r="I213" t="s">
        <v>415</v>
      </c>
      <c r="J213" t="s">
        <v>416</v>
      </c>
      <c r="K213">
        <v>288</v>
      </c>
      <c r="L213">
        <v>17</v>
      </c>
      <c r="M213" t="s">
        <v>1003</v>
      </c>
      <c r="N213">
        <v>31.663699999999999</v>
      </c>
      <c r="O213">
        <v>-110.1777</v>
      </c>
      <c r="P213">
        <v>1199</v>
      </c>
      <c r="Q213">
        <v>22</v>
      </c>
      <c r="R213">
        <v>2000</v>
      </c>
      <c r="S213">
        <v>2021</v>
      </c>
      <c r="T213" t="s">
        <v>1345</v>
      </c>
      <c r="U213" t="s">
        <v>1346</v>
      </c>
      <c r="Z213">
        <v>2001</v>
      </c>
      <c r="AB213" t="s">
        <v>1347</v>
      </c>
    </row>
    <row r="214" spans="1:28" x14ac:dyDescent="0.25">
      <c r="A214" t="s">
        <v>1348</v>
      </c>
      <c r="B214" t="s">
        <v>1349</v>
      </c>
      <c r="C214" t="s">
        <v>1350</v>
      </c>
      <c r="D214" t="s">
        <v>346</v>
      </c>
      <c r="E214" t="s">
        <v>348</v>
      </c>
      <c r="F214" t="s">
        <v>348</v>
      </c>
      <c r="G214" t="s">
        <v>367</v>
      </c>
      <c r="H214" t="s">
        <v>368</v>
      </c>
      <c r="I214" t="s">
        <v>360</v>
      </c>
      <c r="J214" t="s">
        <v>361</v>
      </c>
      <c r="K214">
        <v>1143</v>
      </c>
      <c r="L214">
        <v>12.8</v>
      </c>
      <c r="M214" t="s">
        <v>1003</v>
      </c>
      <c r="N214">
        <v>38.746600000000001</v>
      </c>
      <c r="O214">
        <v>-94.396699999999996</v>
      </c>
      <c r="P214">
        <v>309</v>
      </c>
      <c r="Q214">
        <v>0</v>
      </c>
      <c r="Z214">
        <v>2023</v>
      </c>
    </row>
    <row r="215" spans="1:28" x14ac:dyDescent="0.25">
      <c r="A215" t="s">
        <v>1351</v>
      </c>
      <c r="B215" t="s">
        <v>1352</v>
      </c>
      <c r="C215" t="s">
        <v>1350</v>
      </c>
      <c r="D215" t="s">
        <v>346</v>
      </c>
      <c r="E215" t="s">
        <v>348</v>
      </c>
      <c r="F215" t="s">
        <v>348</v>
      </c>
      <c r="G215" t="s">
        <v>367</v>
      </c>
      <c r="H215" t="s">
        <v>368</v>
      </c>
      <c r="I215" t="s">
        <v>360</v>
      </c>
      <c r="J215" t="s">
        <v>361</v>
      </c>
      <c r="K215">
        <v>1143</v>
      </c>
      <c r="L215">
        <v>12.8</v>
      </c>
      <c r="M215" t="s">
        <v>1003</v>
      </c>
      <c r="N215">
        <v>38.755400000000002</v>
      </c>
      <c r="O215">
        <v>-94.396299999999997</v>
      </c>
      <c r="P215">
        <v>309</v>
      </c>
      <c r="Q215">
        <v>0</v>
      </c>
      <c r="Z215">
        <v>2023</v>
      </c>
    </row>
    <row r="216" spans="1:28" x14ac:dyDescent="0.25">
      <c r="A216" t="s">
        <v>1353</v>
      </c>
      <c r="B216" t="s">
        <v>1354</v>
      </c>
      <c r="C216" t="s">
        <v>1355</v>
      </c>
      <c r="D216" t="s">
        <v>346</v>
      </c>
      <c r="E216" t="s">
        <v>347</v>
      </c>
      <c r="F216" t="s">
        <v>347</v>
      </c>
      <c r="G216" t="s">
        <v>367</v>
      </c>
      <c r="H216" t="s">
        <v>368</v>
      </c>
      <c r="M216" t="s">
        <v>1003</v>
      </c>
      <c r="N216">
        <v>38.090000000000003</v>
      </c>
      <c r="O216">
        <v>-109.39</v>
      </c>
      <c r="P216">
        <v>1520</v>
      </c>
      <c r="Q216">
        <v>7</v>
      </c>
      <c r="R216">
        <v>2001</v>
      </c>
      <c r="S216">
        <v>2007</v>
      </c>
      <c r="T216" t="s">
        <v>1356</v>
      </c>
      <c r="U216" t="s">
        <v>1357</v>
      </c>
      <c r="V216">
        <v>2001</v>
      </c>
      <c r="W216">
        <v>2007</v>
      </c>
      <c r="X216" t="s">
        <v>1356</v>
      </c>
      <c r="Y216" t="s">
        <v>1358</v>
      </c>
      <c r="Z216">
        <v>2001</v>
      </c>
      <c r="AA216">
        <v>2007</v>
      </c>
      <c r="AB216" t="s">
        <v>1359</v>
      </c>
    </row>
    <row r="217" spans="1:28" x14ac:dyDescent="0.25">
      <c r="A217" t="s">
        <v>1360</v>
      </c>
      <c r="B217" t="s">
        <v>1361</v>
      </c>
      <c r="C217" t="s">
        <v>1362</v>
      </c>
      <c r="D217" t="s">
        <v>346</v>
      </c>
      <c r="E217" t="s">
        <v>347</v>
      </c>
      <c r="F217" t="s">
        <v>348</v>
      </c>
      <c r="G217" t="s">
        <v>513</v>
      </c>
      <c r="H217" t="s">
        <v>514</v>
      </c>
      <c r="I217" t="s">
        <v>539</v>
      </c>
      <c r="J217" t="s">
        <v>540</v>
      </c>
      <c r="K217">
        <v>545</v>
      </c>
      <c r="L217">
        <v>6.1</v>
      </c>
      <c r="M217" t="s">
        <v>1003</v>
      </c>
      <c r="N217">
        <v>41.067999999999998</v>
      </c>
      <c r="O217">
        <v>-106.1187</v>
      </c>
      <c r="P217">
        <v>2750</v>
      </c>
      <c r="Q217">
        <v>5</v>
      </c>
      <c r="R217">
        <v>2009</v>
      </c>
      <c r="S217">
        <v>2013</v>
      </c>
      <c r="T217" t="s">
        <v>1363</v>
      </c>
      <c r="U217" t="s">
        <v>1364</v>
      </c>
      <c r="Y217" t="s">
        <v>1365</v>
      </c>
      <c r="Z217">
        <v>2009</v>
      </c>
      <c r="AB217" t="s">
        <v>720</v>
      </c>
    </row>
    <row r="218" spans="1:28" x14ac:dyDescent="0.25">
      <c r="A218" t="s">
        <v>1366</v>
      </c>
      <c r="B218" t="s">
        <v>1367</v>
      </c>
      <c r="C218" t="s">
        <v>1368</v>
      </c>
      <c r="D218" t="s">
        <v>346</v>
      </c>
      <c r="E218" t="s">
        <v>348</v>
      </c>
      <c r="F218" t="s">
        <v>348</v>
      </c>
      <c r="G218" t="s">
        <v>349</v>
      </c>
      <c r="H218" t="s">
        <v>350</v>
      </c>
      <c r="I218" t="s">
        <v>360</v>
      </c>
      <c r="J218" t="s">
        <v>361</v>
      </c>
      <c r="K218">
        <v>1150</v>
      </c>
      <c r="L218">
        <v>16.399999999999999</v>
      </c>
      <c r="M218" t="s">
        <v>1003</v>
      </c>
      <c r="N218">
        <v>35.763500000000001</v>
      </c>
      <c r="O218">
        <v>-90.772999999999996</v>
      </c>
      <c r="P218">
        <v>77</v>
      </c>
      <c r="Q218">
        <v>0</v>
      </c>
      <c r="Z218">
        <v>2022</v>
      </c>
    </row>
    <row r="219" spans="1:28" x14ac:dyDescent="0.25">
      <c r="A219" t="s">
        <v>1369</v>
      </c>
      <c r="B219" t="s">
        <v>1370</v>
      </c>
      <c r="C219" t="s">
        <v>1371</v>
      </c>
      <c r="D219" t="s">
        <v>346</v>
      </c>
      <c r="E219" t="s">
        <v>347</v>
      </c>
      <c r="F219" t="s">
        <v>348</v>
      </c>
      <c r="G219" t="s">
        <v>513</v>
      </c>
      <c r="H219" t="s">
        <v>514</v>
      </c>
      <c r="I219" t="s">
        <v>360</v>
      </c>
      <c r="J219" t="s">
        <v>361</v>
      </c>
      <c r="K219">
        <v>1148</v>
      </c>
      <c r="L219">
        <v>19</v>
      </c>
      <c r="M219" t="s">
        <v>1003</v>
      </c>
      <c r="N219">
        <v>31.462900000000001</v>
      </c>
      <c r="O219">
        <v>-95.341499999999996</v>
      </c>
      <c r="P219">
        <v>151</v>
      </c>
      <c r="Q219">
        <v>2</v>
      </c>
      <c r="R219">
        <v>2022</v>
      </c>
      <c r="S219">
        <v>2023</v>
      </c>
      <c r="T219" t="s">
        <v>554</v>
      </c>
      <c r="U219" t="s">
        <v>1372</v>
      </c>
      <c r="Z219">
        <v>2021</v>
      </c>
      <c r="AB219" t="s">
        <v>1373</v>
      </c>
    </row>
    <row r="220" spans="1:28" x14ac:dyDescent="0.25">
      <c r="A220" t="s">
        <v>1374</v>
      </c>
      <c r="B220" t="s">
        <v>1375</v>
      </c>
      <c r="C220" t="s">
        <v>1376</v>
      </c>
      <c r="D220" t="s">
        <v>346</v>
      </c>
      <c r="E220" t="s">
        <v>347</v>
      </c>
      <c r="F220" t="s">
        <v>347</v>
      </c>
      <c r="G220" t="s">
        <v>349</v>
      </c>
      <c r="H220" t="s">
        <v>350</v>
      </c>
      <c r="I220" t="s">
        <v>1175</v>
      </c>
      <c r="J220" t="s">
        <v>1176</v>
      </c>
      <c r="K220">
        <v>849</v>
      </c>
      <c r="L220">
        <v>10.1</v>
      </c>
      <c r="M220" t="s">
        <v>1003</v>
      </c>
      <c r="N220">
        <v>41.628500000000003</v>
      </c>
      <c r="O220">
        <v>-83.347099999999998</v>
      </c>
      <c r="P220">
        <v>180</v>
      </c>
      <c r="Q220">
        <v>3</v>
      </c>
      <c r="R220">
        <v>2011</v>
      </c>
      <c r="S220">
        <v>2013</v>
      </c>
      <c r="T220" t="s">
        <v>1377</v>
      </c>
      <c r="U220" t="s">
        <v>1378</v>
      </c>
      <c r="V220">
        <v>2011</v>
      </c>
      <c r="W220">
        <v>2013</v>
      </c>
      <c r="X220" t="s">
        <v>1377</v>
      </c>
      <c r="Y220" t="s">
        <v>1379</v>
      </c>
      <c r="Z220">
        <v>2011</v>
      </c>
      <c r="AA220">
        <v>2013</v>
      </c>
      <c r="AB220" t="s">
        <v>1380</v>
      </c>
    </row>
    <row r="221" spans="1:28" x14ac:dyDescent="0.25">
      <c r="A221" t="s">
        <v>1381</v>
      </c>
      <c r="B221" t="s">
        <v>1382</v>
      </c>
      <c r="C221" t="s">
        <v>1368</v>
      </c>
      <c r="D221" t="s">
        <v>346</v>
      </c>
      <c r="E221" t="s">
        <v>348</v>
      </c>
      <c r="F221" t="s">
        <v>348</v>
      </c>
      <c r="G221" t="s">
        <v>349</v>
      </c>
      <c r="H221" t="s">
        <v>350</v>
      </c>
      <c r="I221" t="s">
        <v>360</v>
      </c>
      <c r="J221" t="s">
        <v>361</v>
      </c>
      <c r="K221">
        <v>1150</v>
      </c>
      <c r="L221">
        <v>16.399999999999999</v>
      </c>
      <c r="M221" t="s">
        <v>1003</v>
      </c>
      <c r="N221">
        <v>35.763500000000001</v>
      </c>
      <c r="O221">
        <v>-90.772999999999996</v>
      </c>
      <c r="P221">
        <v>77</v>
      </c>
      <c r="Q221">
        <v>0</v>
      </c>
      <c r="Z221">
        <v>2022</v>
      </c>
    </row>
    <row r="222" spans="1:28" x14ac:dyDescent="0.25">
      <c r="A222" t="s">
        <v>24</v>
      </c>
      <c r="B222" t="s">
        <v>1383</v>
      </c>
      <c r="C222" t="s">
        <v>1050</v>
      </c>
      <c r="D222" t="s">
        <v>346</v>
      </c>
      <c r="E222" t="s">
        <v>347</v>
      </c>
      <c r="F222" t="s">
        <v>347</v>
      </c>
      <c r="G222" t="s">
        <v>349</v>
      </c>
      <c r="H222" t="s">
        <v>350</v>
      </c>
      <c r="I222" t="s">
        <v>1175</v>
      </c>
      <c r="J222" t="s">
        <v>1176</v>
      </c>
      <c r="K222">
        <v>830</v>
      </c>
      <c r="L222">
        <v>7</v>
      </c>
      <c r="M222" t="s">
        <v>1003</v>
      </c>
      <c r="N222">
        <v>44.103099999999998</v>
      </c>
      <c r="O222">
        <v>-89.537899999999993</v>
      </c>
      <c r="P222">
        <v>328</v>
      </c>
      <c r="Q222">
        <v>2</v>
      </c>
      <c r="R222">
        <v>2018</v>
      </c>
      <c r="S222">
        <v>2019</v>
      </c>
      <c r="T222" t="s">
        <v>985</v>
      </c>
      <c r="U222" t="s">
        <v>1384</v>
      </c>
      <c r="V222">
        <v>2018</v>
      </c>
      <c r="W222">
        <v>2019</v>
      </c>
      <c r="X222" t="s">
        <v>985</v>
      </c>
      <c r="Y222" t="s">
        <v>1385</v>
      </c>
      <c r="Z222">
        <v>2018</v>
      </c>
      <c r="AA222">
        <v>2019</v>
      </c>
      <c r="AB222" t="s">
        <v>1386</v>
      </c>
    </row>
    <row r="223" spans="1:28" x14ac:dyDescent="0.25">
      <c r="A223" t="s">
        <v>25</v>
      </c>
      <c r="B223" t="s">
        <v>1387</v>
      </c>
      <c r="C223" t="s">
        <v>1050</v>
      </c>
      <c r="D223" t="s">
        <v>346</v>
      </c>
      <c r="E223" t="s">
        <v>347</v>
      </c>
      <c r="F223" t="s">
        <v>347</v>
      </c>
      <c r="G223" t="s">
        <v>513</v>
      </c>
      <c r="H223" t="s">
        <v>514</v>
      </c>
      <c r="I223" t="s">
        <v>1175</v>
      </c>
      <c r="J223" t="s">
        <v>1176</v>
      </c>
      <c r="K223">
        <v>830</v>
      </c>
      <c r="L223">
        <v>7</v>
      </c>
      <c r="M223" t="s">
        <v>1003</v>
      </c>
      <c r="N223">
        <v>44.146700000000003</v>
      </c>
      <c r="O223">
        <v>-89.500200000000007</v>
      </c>
      <c r="P223">
        <v>328</v>
      </c>
      <c r="Q223">
        <v>5</v>
      </c>
      <c r="R223">
        <v>2018</v>
      </c>
      <c r="S223">
        <v>2022</v>
      </c>
      <c r="T223" t="s">
        <v>983</v>
      </c>
      <c r="U223" t="s">
        <v>1388</v>
      </c>
      <c r="V223">
        <v>2018</v>
      </c>
      <c r="W223">
        <v>2022</v>
      </c>
      <c r="X223" t="s">
        <v>983</v>
      </c>
      <c r="Y223" t="s">
        <v>1389</v>
      </c>
      <c r="Z223">
        <v>2018</v>
      </c>
      <c r="AA223">
        <v>2022</v>
      </c>
      <c r="AB223" t="s">
        <v>1390</v>
      </c>
    </row>
    <row r="224" spans="1:28" x14ac:dyDescent="0.25">
      <c r="A224" t="s">
        <v>26</v>
      </c>
      <c r="B224" t="s">
        <v>1383</v>
      </c>
      <c r="C224" t="s">
        <v>1050</v>
      </c>
      <c r="D224" t="s">
        <v>346</v>
      </c>
      <c r="E224" t="s">
        <v>347</v>
      </c>
      <c r="F224" t="s">
        <v>347</v>
      </c>
      <c r="G224" t="s">
        <v>349</v>
      </c>
      <c r="H224" t="s">
        <v>350</v>
      </c>
      <c r="I224" t="s">
        <v>1175</v>
      </c>
      <c r="J224" t="s">
        <v>1176</v>
      </c>
      <c r="K224">
        <v>830</v>
      </c>
      <c r="L224">
        <v>7</v>
      </c>
      <c r="M224" t="s">
        <v>1003</v>
      </c>
      <c r="N224">
        <v>44.139400000000002</v>
      </c>
      <c r="O224">
        <v>-89.572699999999998</v>
      </c>
      <c r="P224">
        <v>328</v>
      </c>
      <c r="Q224">
        <v>2</v>
      </c>
      <c r="R224">
        <v>2019</v>
      </c>
      <c r="S224">
        <v>2020</v>
      </c>
      <c r="T224" t="s">
        <v>568</v>
      </c>
      <c r="U224" t="s">
        <v>1391</v>
      </c>
      <c r="V224">
        <v>2019</v>
      </c>
      <c r="W224">
        <v>2020</v>
      </c>
      <c r="X224" t="s">
        <v>568</v>
      </c>
      <c r="Y224" t="s">
        <v>1392</v>
      </c>
      <c r="Z224">
        <v>2019</v>
      </c>
      <c r="AA224">
        <v>2020</v>
      </c>
      <c r="AB224" t="s">
        <v>1386</v>
      </c>
    </row>
    <row r="225" spans="1:28" x14ac:dyDescent="0.25">
      <c r="A225" t="s">
        <v>27</v>
      </c>
      <c r="B225" t="s">
        <v>1383</v>
      </c>
      <c r="C225" t="s">
        <v>1050</v>
      </c>
      <c r="D225" t="s">
        <v>346</v>
      </c>
      <c r="E225" t="s">
        <v>347</v>
      </c>
      <c r="F225" t="s">
        <v>347</v>
      </c>
      <c r="G225" t="s">
        <v>349</v>
      </c>
      <c r="H225" t="s">
        <v>350</v>
      </c>
      <c r="I225" t="s">
        <v>1175</v>
      </c>
      <c r="J225" t="s">
        <v>1176</v>
      </c>
      <c r="K225">
        <v>830</v>
      </c>
      <c r="L225">
        <v>7</v>
      </c>
      <c r="M225" t="s">
        <v>1003</v>
      </c>
      <c r="N225">
        <v>44.159700000000001</v>
      </c>
      <c r="O225">
        <v>-89.547499999999999</v>
      </c>
      <c r="P225">
        <v>328</v>
      </c>
      <c r="Q225">
        <v>2</v>
      </c>
      <c r="R225">
        <v>2020</v>
      </c>
      <c r="S225">
        <v>2021</v>
      </c>
      <c r="T225" t="s">
        <v>1393</v>
      </c>
      <c r="U225" t="s">
        <v>1394</v>
      </c>
      <c r="V225">
        <v>2020</v>
      </c>
      <c r="W225">
        <v>2021</v>
      </c>
      <c r="X225" t="s">
        <v>1393</v>
      </c>
      <c r="Y225" t="s">
        <v>1395</v>
      </c>
      <c r="Z225">
        <v>2020</v>
      </c>
      <c r="AA225">
        <v>2021</v>
      </c>
      <c r="AB225" t="s">
        <v>1386</v>
      </c>
    </row>
    <row r="226" spans="1:28" x14ac:dyDescent="0.25">
      <c r="A226" t="s">
        <v>1396</v>
      </c>
      <c r="B226" t="s">
        <v>1383</v>
      </c>
      <c r="C226" t="s">
        <v>1050</v>
      </c>
      <c r="D226" t="s">
        <v>346</v>
      </c>
      <c r="E226" t="s">
        <v>347</v>
      </c>
      <c r="F226" t="s">
        <v>347</v>
      </c>
      <c r="G226" t="s">
        <v>349</v>
      </c>
      <c r="H226" t="s">
        <v>350</v>
      </c>
      <c r="I226" t="s">
        <v>1175</v>
      </c>
      <c r="J226" t="s">
        <v>1176</v>
      </c>
      <c r="K226">
        <v>830</v>
      </c>
      <c r="L226">
        <v>7</v>
      </c>
      <c r="M226" t="s">
        <v>1003</v>
      </c>
      <c r="N226">
        <v>44.109499999999997</v>
      </c>
      <c r="O226">
        <v>-89.537700000000001</v>
      </c>
      <c r="P226">
        <v>328</v>
      </c>
      <c r="Q226">
        <v>1</v>
      </c>
      <c r="R226">
        <v>2021</v>
      </c>
      <c r="S226">
        <v>2021</v>
      </c>
      <c r="T226">
        <v>2021</v>
      </c>
      <c r="U226" t="s">
        <v>1397</v>
      </c>
      <c r="V226">
        <v>2021</v>
      </c>
      <c r="W226">
        <v>2021</v>
      </c>
      <c r="X226">
        <v>2021</v>
      </c>
      <c r="Y226" t="s">
        <v>1398</v>
      </c>
      <c r="Z226">
        <v>2021</v>
      </c>
      <c r="AA226">
        <v>2022</v>
      </c>
      <c r="AB226" t="s">
        <v>1399</v>
      </c>
    </row>
    <row r="227" spans="1:28" x14ac:dyDescent="0.25">
      <c r="A227" t="s">
        <v>1400</v>
      </c>
      <c r="B227" t="s">
        <v>1383</v>
      </c>
      <c r="C227" t="s">
        <v>1050</v>
      </c>
      <c r="D227" t="s">
        <v>346</v>
      </c>
      <c r="E227" t="s">
        <v>347</v>
      </c>
      <c r="F227" t="s">
        <v>347</v>
      </c>
      <c r="G227" t="s">
        <v>349</v>
      </c>
      <c r="H227" t="s">
        <v>350</v>
      </c>
      <c r="I227" t="s">
        <v>1175</v>
      </c>
      <c r="J227" t="s">
        <v>1176</v>
      </c>
      <c r="K227">
        <v>830</v>
      </c>
      <c r="L227">
        <v>7</v>
      </c>
      <c r="M227" t="s">
        <v>1003</v>
      </c>
      <c r="N227">
        <v>44.429699999999997</v>
      </c>
      <c r="O227">
        <v>-89.543999999999997</v>
      </c>
      <c r="P227">
        <v>328</v>
      </c>
      <c r="Q227">
        <v>2</v>
      </c>
      <c r="R227">
        <v>2022</v>
      </c>
      <c r="S227">
        <v>2023</v>
      </c>
      <c r="T227" t="s">
        <v>554</v>
      </c>
      <c r="U227" t="s">
        <v>1401</v>
      </c>
      <c r="V227">
        <v>2022</v>
      </c>
      <c r="W227">
        <v>2023</v>
      </c>
      <c r="X227" t="s">
        <v>554</v>
      </c>
      <c r="Y227" t="s">
        <v>1402</v>
      </c>
      <c r="Z227">
        <v>2022</v>
      </c>
      <c r="AA227">
        <v>2023</v>
      </c>
      <c r="AB227" t="s">
        <v>1399</v>
      </c>
    </row>
    <row r="228" spans="1:28" x14ac:dyDescent="0.25">
      <c r="A228" t="s">
        <v>1403</v>
      </c>
      <c r="B228" t="s">
        <v>1404</v>
      </c>
      <c r="C228" t="s">
        <v>1050</v>
      </c>
      <c r="D228" t="s">
        <v>346</v>
      </c>
      <c r="E228" t="s">
        <v>348</v>
      </c>
      <c r="F228" t="s">
        <v>348</v>
      </c>
      <c r="G228" t="s">
        <v>513</v>
      </c>
      <c r="H228" t="s">
        <v>514</v>
      </c>
      <c r="I228" t="s">
        <v>1175</v>
      </c>
      <c r="J228" t="s">
        <v>1176</v>
      </c>
      <c r="K228">
        <v>830</v>
      </c>
      <c r="L228">
        <v>7</v>
      </c>
      <c r="M228" t="s">
        <v>1003</v>
      </c>
      <c r="N228">
        <v>44.4375</v>
      </c>
      <c r="O228">
        <v>-89.544300000000007</v>
      </c>
      <c r="P228">
        <v>328</v>
      </c>
      <c r="Q228">
        <v>0</v>
      </c>
      <c r="Z228">
        <v>2022</v>
      </c>
      <c r="AA228">
        <v>2023</v>
      </c>
    </row>
    <row r="229" spans="1:28" x14ac:dyDescent="0.25">
      <c r="A229" t="s">
        <v>1405</v>
      </c>
      <c r="B229" t="s">
        <v>1383</v>
      </c>
      <c r="C229" t="s">
        <v>1050</v>
      </c>
      <c r="D229" t="s">
        <v>346</v>
      </c>
      <c r="E229" t="s">
        <v>347</v>
      </c>
      <c r="F229" t="s">
        <v>347</v>
      </c>
      <c r="G229" t="s">
        <v>349</v>
      </c>
      <c r="H229" t="s">
        <v>350</v>
      </c>
      <c r="I229" t="s">
        <v>1175</v>
      </c>
      <c r="J229" t="s">
        <v>1176</v>
      </c>
      <c r="K229">
        <v>830</v>
      </c>
      <c r="L229">
        <v>7</v>
      </c>
      <c r="M229" t="s">
        <v>1003</v>
      </c>
      <c r="N229">
        <v>44.433799999999998</v>
      </c>
      <c r="O229">
        <v>-89.5364</v>
      </c>
      <c r="P229">
        <v>328</v>
      </c>
      <c r="Q229">
        <v>1</v>
      </c>
      <c r="R229">
        <v>2023</v>
      </c>
      <c r="S229">
        <v>2023</v>
      </c>
      <c r="T229">
        <v>2023</v>
      </c>
      <c r="U229" t="s">
        <v>1406</v>
      </c>
      <c r="V229">
        <v>2023</v>
      </c>
      <c r="W229">
        <v>2023</v>
      </c>
      <c r="X229">
        <v>2023</v>
      </c>
      <c r="Y229" t="s">
        <v>1407</v>
      </c>
      <c r="Z229">
        <v>2023</v>
      </c>
      <c r="AA229">
        <v>2023</v>
      </c>
      <c r="AB229" t="s">
        <v>1399</v>
      </c>
    </row>
    <row r="230" spans="1:28" x14ac:dyDescent="0.25">
      <c r="A230" t="s">
        <v>1408</v>
      </c>
      <c r="B230" t="s">
        <v>1409</v>
      </c>
      <c r="C230" t="s">
        <v>1410</v>
      </c>
      <c r="D230" t="s">
        <v>346</v>
      </c>
      <c r="E230" t="s">
        <v>347</v>
      </c>
      <c r="F230" t="s">
        <v>347</v>
      </c>
      <c r="G230" t="s">
        <v>513</v>
      </c>
      <c r="H230" t="s">
        <v>514</v>
      </c>
      <c r="I230" t="s">
        <v>360</v>
      </c>
      <c r="J230" t="s">
        <v>361</v>
      </c>
      <c r="K230">
        <v>1410</v>
      </c>
      <c r="L230">
        <v>17.399999999999999</v>
      </c>
      <c r="M230" t="s">
        <v>1003</v>
      </c>
      <c r="N230">
        <v>33.044199999999996</v>
      </c>
      <c r="O230">
        <v>-91.920400000000001</v>
      </c>
      <c r="P230">
        <v>50</v>
      </c>
      <c r="Q230">
        <v>5</v>
      </c>
      <c r="R230">
        <v>2013</v>
      </c>
      <c r="S230">
        <v>2017</v>
      </c>
      <c r="T230" t="s">
        <v>452</v>
      </c>
      <c r="U230" t="s">
        <v>1411</v>
      </c>
      <c r="V230">
        <v>2013</v>
      </c>
      <c r="W230">
        <v>2017</v>
      </c>
      <c r="X230" t="s">
        <v>452</v>
      </c>
      <c r="Y230" t="s">
        <v>1412</v>
      </c>
      <c r="Z230">
        <v>2012</v>
      </c>
      <c r="AB230" t="s">
        <v>1413</v>
      </c>
    </row>
    <row r="231" spans="1:28" x14ac:dyDescent="0.25">
      <c r="A231" t="s">
        <v>1414</v>
      </c>
      <c r="B231" t="s">
        <v>1415</v>
      </c>
      <c r="C231" t="s">
        <v>1328</v>
      </c>
      <c r="D231" t="s">
        <v>375</v>
      </c>
      <c r="E231" t="s">
        <v>347</v>
      </c>
      <c r="F231" t="s">
        <v>348</v>
      </c>
      <c r="G231" t="s">
        <v>367</v>
      </c>
      <c r="H231" t="s">
        <v>368</v>
      </c>
      <c r="M231" t="s">
        <v>1003</v>
      </c>
      <c r="N231">
        <v>43.95</v>
      </c>
      <c r="O231">
        <v>-101.8466</v>
      </c>
      <c r="P231">
        <v>744</v>
      </c>
      <c r="Q231">
        <v>4</v>
      </c>
      <c r="R231">
        <v>2006</v>
      </c>
      <c r="S231">
        <v>2009</v>
      </c>
      <c r="T231" t="s">
        <v>1416</v>
      </c>
      <c r="U231" t="s">
        <v>1417</v>
      </c>
      <c r="Z231">
        <v>2007</v>
      </c>
      <c r="AA231">
        <v>2009</v>
      </c>
      <c r="AB231" t="s">
        <v>720</v>
      </c>
    </row>
    <row r="232" spans="1:28" x14ac:dyDescent="0.25">
      <c r="A232" t="s">
        <v>1418</v>
      </c>
      <c r="B232" t="s">
        <v>1419</v>
      </c>
      <c r="C232" t="s">
        <v>1420</v>
      </c>
      <c r="D232" t="s">
        <v>346</v>
      </c>
      <c r="E232" t="s">
        <v>348</v>
      </c>
      <c r="F232" t="s">
        <v>348</v>
      </c>
      <c r="G232" t="s">
        <v>933</v>
      </c>
      <c r="H232" t="s">
        <v>934</v>
      </c>
      <c r="I232" t="s">
        <v>1175</v>
      </c>
      <c r="J232" t="s">
        <v>1176</v>
      </c>
      <c r="K232">
        <v>937</v>
      </c>
      <c r="L232">
        <v>10.6</v>
      </c>
      <c r="M232" t="s">
        <v>1003</v>
      </c>
      <c r="N232">
        <v>41.869399999999999</v>
      </c>
      <c r="O232">
        <v>-87.645899999999997</v>
      </c>
      <c r="P232">
        <v>183.4</v>
      </c>
      <c r="Q232">
        <v>0</v>
      </c>
      <c r="Z232">
        <v>2024</v>
      </c>
    </row>
    <row r="233" spans="1:28" x14ac:dyDescent="0.25">
      <c r="A233" t="s">
        <v>1421</v>
      </c>
      <c r="B233" t="s">
        <v>1422</v>
      </c>
      <c r="C233" t="s">
        <v>1027</v>
      </c>
      <c r="D233" t="s">
        <v>346</v>
      </c>
      <c r="E233" t="s">
        <v>348</v>
      </c>
      <c r="F233" t="s">
        <v>348</v>
      </c>
      <c r="G233" t="s">
        <v>367</v>
      </c>
      <c r="H233" t="s">
        <v>368</v>
      </c>
      <c r="I233" t="s">
        <v>481</v>
      </c>
      <c r="J233" t="s">
        <v>482</v>
      </c>
      <c r="K233">
        <v>1495</v>
      </c>
      <c r="L233">
        <v>12.9</v>
      </c>
      <c r="M233" t="s">
        <v>1003</v>
      </c>
      <c r="N233">
        <v>34.968200000000003</v>
      </c>
      <c r="O233">
        <v>-83.395099999999999</v>
      </c>
      <c r="P233">
        <v>657</v>
      </c>
      <c r="Q233">
        <v>0</v>
      </c>
      <c r="Z233">
        <v>2017</v>
      </c>
      <c r="AA233">
        <v>2018</v>
      </c>
    </row>
    <row r="234" spans="1:28" x14ac:dyDescent="0.25">
      <c r="A234" t="s">
        <v>1423</v>
      </c>
      <c r="B234" t="s">
        <v>1424</v>
      </c>
      <c r="C234" t="s">
        <v>1425</v>
      </c>
      <c r="D234" t="s">
        <v>346</v>
      </c>
      <c r="E234" t="s">
        <v>347</v>
      </c>
      <c r="F234" t="s">
        <v>348</v>
      </c>
      <c r="G234" t="s">
        <v>428</v>
      </c>
      <c r="H234" t="s">
        <v>429</v>
      </c>
      <c r="I234" t="s">
        <v>481</v>
      </c>
      <c r="J234" t="s">
        <v>482</v>
      </c>
      <c r="K234">
        <v>1800</v>
      </c>
      <c r="L234">
        <v>13</v>
      </c>
      <c r="M234" t="s">
        <v>1003</v>
      </c>
      <c r="N234">
        <v>35.059199999999997</v>
      </c>
      <c r="O234">
        <v>-83.427499999999995</v>
      </c>
      <c r="P234">
        <v>690</v>
      </c>
      <c r="Q234">
        <v>5</v>
      </c>
      <c r="R234">
        <v>2011</v>
      </c>
      <c r="S234">
        <v>2015</v>
      </c>
      <c r="T234" t="s">
        <v>490</v>
      </c>
      <c r="U234" t="s">
        <v>1426</v>
      </c>
      <c r="Z234">
        <v>2011</v>
      </c>
      <c r="AB234" t="s">
        <v>1427</v>
      </c>
    </row>
    <row r="235" spans="1:28" x14ac:dyDescent="0.25">
      <c r="A235" t="s">
        <v>1428</v>
      </c>
      <c r="B235" t="s">
        <v>1429</v>
      </c>
      <c r="C235" t="s">
        <v>1430</v>
      </c>
      <c r="D235" t="s">
        <v>375</v>
      </c>
      <c r="E235" t="s">
        <v>348</v>
      </c>
      <c r="F235" t="s">
        <v>348</v>
      </c>
      <c r="G235" t="s">
        <v>367</v>
      </c>
      <c r="H235" t="s">
        <v>368</v>
      </c>
      <c r="K235">
        <v>340</v>
      </c>
      <c r="L235">
        <v>8.4</v>
      </c>
      <c r="M235" t="s">
        <v>1003</v>
      </c>
      <c r="N235">
        <v>40.832999999999998</v>
      </c>
      <c r="O235">
        <v>-104.76</v>
      </c>
      <c r="P235">
        <v>1600</v>
      </c>
      <c r="Q235">
        <v>0</v>
      </c>
      <c r="Z235">
        <v>2016</v>
      </c>
    </row>
    <row r="236" spans="1:28" x14ac:dyDescent="0.25">
      <c r="A236" t="s">
        <v>1431</v>
      </c>
      <c r="B236" t="s">
        <v>1432</v>
      </c>
      <c r="C236" t="s">
        <v>1430</v>
      </c>
      <c r="D236" t="s">
        <v>375</v>
      </c>
      <c r="E236" t="s">
        <v>348</v>
      </c>
      <c r="F236" t="s">
        <v>348</v>
      </c>
      <c r="G236" t="s">
        <v>367</v>
      </c>
      <c r="H236" t="s">
        <v>368</v>
      </c>
      <c r="K236">
        <v>340</v>
      </c>
      <c r="L236">
        <v>8.4</v>
      </c>
      <c r="M236" t="s">
        <v>1003</v>
      </c>
      <c r="N236">
        <v>40.840200000000003</v>
      </c>
      <c r="O236">
        <v>-104.7672</v>
      </c>
      <c r="P236">
        <v>1600</v>
      </c>
      <c r="Q236">
        <v>0</v>
      </c>
      <c r="Z236">
        <v>2016</v>
      </c>
    </row>
    <row r="237" spans="1:28" x14ac:dyDescent="0.25">
      <c r="A237" t="s">
        <v>1433</v>
      </c>
      <c r="B237" t="s">
        <v>1434</v>
      </c>
      <c r="C237" t="s">
        <v>1435</v>
      </c>
      <c r="D237" t="s">
        <v>375</v>
      </c>
      <c r="E237" t="s">
        <v>348</v>
      </c>
      <c r="F237" t="s">
        <v>348</v>
      </c>
      <c r="G237" t="s">
        <v>1436</v>
      </c>
      <c r="H237" t="s">
        <v>1437</v>
      </c>
      <c r="M237" t="s">
        <v>1003</v>
      </c>
      <c r="N237">
        <v>37.108800000000002</v>
      </c>
      <c r="O237">
        <v>-119.7313</v>
      </c>
      <c r="P237">
        <v>400</v>
      </c>
      <c r="Q237">
        <v>0</v>
      </c>
      <c r="Z237">
        <v>2009</v>
      </c>
    </row>
    <row r="238" spans="1:28" x14ac:dyDescent="0.25">
      <c r="A238" t="s">
        <v>1438</v>
      </c>
      <c r="B238" t="s">
        <v>1439</v>
      </c>
      <c r="C238" t="s">
        <v>1435</v>
      </c>
      <c r="D238" t="s">
        <v>375</v>
      </c>
      <c r="E238" t="s">
        <v>347</v>
      </c>
      <c r="F238" t="s">
        <v>348</v>
      </c>
      <c r="G238" t="s">
        <v>513</v>
      </c>
      <c r="H238" t="s">
        <v>514</v>
      </c>
      <c r="M238" t="s">
        <v>1003</v>
      </c>
      <c r="N238">
        <v>37.031100000000002</v>
      </c>
      <c r="O238">
        <v>-119.25660000000001</v>
      </c>
      <c r="P238">
        <v>1160</v>
      </c>
      <c r="Q238">
        <v>7</v>
      </c>
      <c r="R238">
        <v>2010</v>
      </c>
      <c r="S238">
        <v>2016</v>
      </c>
      <c r="T238" t="s">
        <v>1440</v>
      </c>
      <c r="U238" t="s">
        <v>1441</v>
      </c>
      <c r="Z238">
        <v>2010</v>
      </c>
      <c r="AB238" t="s">
        <v>1442</v>
      </c>
    </row>
    <row r="239" spans="1:28" x14ac:dyDescent="0.25">
      <c r="A239" t="s">
        <v>1443</v>
      </c>
      <c r="B239" t="s">
        <v>1444</v>
      </c>
      <c r="C239" t="s">
        <v>1435</v>
      </c>
      <c r="D239" t="s">
        <v>375</v>
      </c>
      <c r="E239" t="s">
        <v>347</v>
      </c>
      <c r="F239" t="s">
        <v>348</v>
      </c>
      <c r="G239" t="s">
        <v>513</v>
      </c>
      <c r="H239" t="s">
        <v>514</v>
      </c>
      <c r="M239" t="s">
        <v>1003</v>
      </c>
      <c r="N239">
        <v>37.067399999999999</v>
      </c>
      <c r="O239">
        <v>-119.1951</v>
      </c>
      <c r="P239">
        <v>2015</v>
      </c>
      <c r="Q239">
        <v>9</v>
      </c>
      <c r="R239">
        <v>2008</v>
      </c>
      <c r="S239">
        <v>2016</v>
      </c>
      <c r="T239" t="s">
        <v>1445</v>
      </c>
      <c r="U239" t="s">
        <v>1446</v>
      </c>
      <c r="Z239">
        <v>2008</v>
      </c>
      <c r="AB239" t="s">
        <v>1442</v>
      </c>
    </row>
    <row r="240" spans="1:28" x14ac:dyDescent="0.25">
      <c r="A240" t="s">
        <v>1447</v>
      </c>
      <c r="B240" t="s">
        <v>1448</v>
      </c>
      <c r="C240" t="s">
        <v>1435</v>
      </c>
      <c r="D240" t="s">
        <v>375</v>
      </c>
      <c r="E240" t="s">
        <v>347</v>
      </c>
      <c r="F240" t="s">
        <v>348</v>
      </c>
      <c r="G240" t="s">
        <v>513</v>
      </c>
      <c r="H240" t="s">
        <v>514</v>
      </c>
      <c r="M240" t="s">
        <v>1003</v>
      </c>
      <c r="N240">
        <v>37.067500000000003</v>
      </c>
      <c r="O240">
        <v>-118.9867</v>
      </c>
      <c r="P240">
        <v>2710</v>
      </c>
      <c r="Q240">
        <v>8</v>
      </c>
      <c r="R240">
        <v>2009</v>
      </c>
      <c r="S240">
        <v>2016</v>
      </c>
      <c r="T240" t="s">
        <v>1449</v>
      </c>
      <c r="U240" t="s">
        <v>1450</v>
      </c>
      <c r="Z240">
        <v>2009</v>
      </c>
      <c r="AB240" t="s">
        <v>1442</v>
      </c>
    </row>
    <row r="241" spans="1:28" x14ac:dyDescent="0.25">
      <c r="A241" t="s">
        <v>1451</v>
      </c>
      <c r="B241" t="s">
        <v>1452</v>
      </c>
      <c r="C241" t="s">
        <v>1453</v>
      </c>
      <c r="D241" t="s">
        <v>346</v>
      </c>
      <c r="E241" t="s">
        <v>348</v>
      </c>
      <c r="F241" t="s">
        <v>348</v>
      </c>
      <c r="G241" t="s">
        <v>933</v>
      </c>
      <c r="H241" t="s">
        <v>934</v>
      </c>
      <c r="I241" t="s">
        <v>632</v>
      </c>
      <c r="J241" t="s">
        <v>633</v>
      </c>
      <c r="M241" t="s">
        <v>1003</v>
      </c>
      <c r="N241">
        <v>37.873600000000003</v>
      </c>
      <c r="O241">
        <v>-122.2684</v>
      </c>
      <c r="Q241">
        <v>0</v>
      </c>
      <c r="Z241">
        <v>2022</v>
      </c>
    </row>
    <row r="242" spans="1:28" x14ac:dyDescent="0.25">
      <c r="A242" t="s">
        <v>1454</v>
      </c>
      <c r="B242" t="s">
        <v>1455</v>
      </c>
      <c r="C242" t="s">
        <v>1456</v>
      </c>
      <c r="D242" t="s">
        <v>346</v>
      </c>
      <c r="E242" t="s">
        <v>348</v>
      </c>
      <c r="F242" t="s">
        <v>348</v>
      </c>
      <c r="G242" t="s">
        <v>376</v>
      </c>
      <c r="H242" t="s">
        <v>377</v>
      </c>
      <c r="I242" t="s">
        <v>435</v>
      </c>
      <c r="J242" t="s">
        <v>436</v>
      </c>
      <c r="K242">
        <v>1312</v>
      </c>
      <c r="L242">
        <v>23.1</v>
      </c>
      <c r="M242" t="s">
        <v>1003</v>
      </c>
      <c r="N242">
        <v>25.762599999999999</v>
      </c>
      <c r="O242">
        <v>-80.907799999999995</v>
      </c>
      <c r="P242">
        <v>2.0499999999999998</v>
      </c>
      <c r="Q242">
        <v>0</v>
      </c>
      <c r="Z242">
        <v>2012</v>
      </c>
      <c r="AA242">
        <v>2014</v>
      </c>
    </row>
    <row r="243" spans="1:28" x14ac:dyDescent="0.25">
      <c r="A243" t="s">
        <v>1457</v>
      </c>
      <c r="B243" t="s">
        <v>1458</v>
      </c>
      <c r="C243" t="s">
        <v>1459</v>
      </c>
      <c r="D243" t="s">
        <v>375</v>
      </c>
      <c r="E243" t="s">
        <v>348</v>
      </c>
      <c r="F243" t="s">
        <v>348</v>
      </c>
      <c r="G243" t="s">
        <v>349</v>
      </c>
      <c r="H243" t="s">
        <v>350</v>
      </c>
      <c r="I243" t="s">
        <v>1077</v>
      </c>
      <c r="J243" t="s">
        <v>1078</v>
      </c>
      <c r="K243">
        <v>131</v>
      </c>
      <c r="L243">
        <v>20.5</v>
      </c>
      <c r="M243" t="s">
        <v>1003</v>
      </c>
      <c r="N243">
        <v>32.813600000000001</v>
      </c>
      <c r="O243">
        <v>-115.4423</v>
      </c>
      <c r="P243">
        <v>-53</v>
      </c>
      <c r="Q243">
        <v>0</v>
      </c>
      <c r="Z243">
        <v>2014</v>
      </c>
    </row>
    <row r="244" spans="1:28" x14ac:dyDescent="0.25">
      <c r="A244" t="s">
        <v>1460</v>
      </c>
      <c r="B244" t="s">
        <v>1461</v>
      </c>
      <c r="C244" t="s">
        <v>1459</v>
      </c>
      <c r="D244" t="s">
        <v>375</v>
      </c>
      <c r="E244" t="s">
        <v>348</v>
      </c>
      <c r="F244" t="s">
        <v>348</v>
      </c>
      <c r="G244" t="s">
        <v>933</v>
      </c>
      <c r="H244" t="s">
        <v>934</v>
      </c>
      <c r="I244" t="s">
        <v>1077</v>
      </c>
      <c r="J244" t="s">
        <v>1078</v>
      </c>
      <c r="K244">
        <v>131</v>
      </c>
      <c r="L244">
        <v>20.5</v>
      </c>
      <c r="M244" t="s">
        <v>1003</v>
      </c>
      <c r="N244">
        <v>32.805599999999998</v>
      </c>
      <c r="O244">
        <v>-115.4456</v>
      </c>
      <c r="P244">
        <v>-53</v>
      </c>
      <c r="Q244">
        <v>0</v>
      </c>
      <c r="Z244">
        <v>2014</v>
      </c>
    </row>
    <row r="245" spans="1:28" x14ac:dyDescent="0.25">
      <c r="A245" t="s">
        <v>28</v>
      </c>
      <c r="B245" t="s">
        <v>1462</v>
      </c>
      <c r="C245" t="s">
        <v>1050</v>
      </c>
      <c r="D245" t="s">
        <v>346</v>
      </c>
      <c r="E245" t="s">
        <v>347</v>
      </c>
      <c r="F245" t="s">
        <v>347</v>
      </c>
      <c r="G245" t="s">
        <v>349</v>
      </c>
      <c r="H245" t="s">
        <v>350</v>
      </c>
      <c r="I245" t="s">
        <v>481</v>
      </c>
      <c r="J245" t="s">
        <v>482</v>
      </c>
      <c r="K245">
        <v>787</v>
      </c>
      <c r="L245">
        <v>7.65</v>
      </c>
      <c r="M245" t="s">
        <v>1003</v>
      </c>
      <c r="N245">
        <v>43.344799999999999</v>
      </c>
      <c r="O245">
        <v>-89.711699999999993</v>
      </c>
      <c r="P245">
        <v>264.89999999999998</v>
      </c>
      <c r="Q245">
        <v>5</v>
      </c>
      <c r="R245">
        <v>2018</v>
      </c>
      <c r="S245">
        <v>2022</v>
      </c>
      <c r="T245" t="s">
        <v>983</v>
      </c>
      <c r="U245" t="s">
        <v>1463</v>
      </c>
      <c r="V245">
        <v>2018</v>
      </c>
      <c r="W245">
        <v>2022</v>
      </c>
      <c r="X245" t="s">
        <v>983</v>
      </c>
      <c r="Y245" t="s">
        <v>1464</v>
      </c>
      <c r="Z245">
        <v>2018</v>
      </c>
      <c r="AB245" t="s">
        <v>1465</v>
      </c>
    </row>
    <row r="246" spans="1:28" x14ac:dyDescent="0.25">
      <c r="A246" t="s">
        <v>1466</v>
      </c>
      <c r="B246" t="s">
        <v>1467</v>
      </c>
      <c r="C246" t="s">
        <v>1468</v>
      </c>
      <c r="D246" t="s">
        <v>346</v>
      </c>
      <c r="E246" t="s">
        <v>347</v>
      </c>
      <c r="F246" t="s">
        <v>348</v>
      </c>
      <c r="G246" t="s">
        <v>349</v>
      </c>
      <c r="H246" t="s">
        <v>350</v>
      </c>
      <c r="I246" t="s">
        <v>481</v>
      </c>
      <c r="J246" t="s">
        <v>482</v>
      </c>
      <c r="K246">
        <v>787</v>
      </c>
      <c r="L246">
        <v>7.65</v>
      </c>
      <c r="M246" t="s">
        <v>1003</v>
      </c>
      <c r="N246">
        <v>43.345300000000002</v>
      </c>
      <c r="O246">
        <v>-89.715400000000002</v>
      </c>
      <c r="P246">
        <v>210</v>
      </c>
      <c r="Q246">
        <v>4</v>
      </c>
      <c r="R246">
        <v>2018</v>
      </c>
      <c r="S246">
        <v>2021</v>
      </c>
      <c r="T246" t="s">
        <v>1469</v>
      </c>
      <c r="U246" t="s">
        <v>1470</v>
      </c>
      <c r="Z246">
        <v>2018</v>
      </c>
      <c r="AB246" t="s">
        <v>1471</v>
      </c>
    </row>
    <row r="247" spans="1:28" x14ac:dyDescent="0.25">
      <c r="A247" t="s">
        <v>1472</v>
      </c>
      <c r="B247" t="s">
        <v>1473</v>
      </c>
      <c r="C247" t="s">
        <v>1474</v>
      </c>
      <c r="D247" t="s">
        <v>346</v>
      </c>
      <c r="E247" t="s">
        <v>347</v>
      </c>
      <c r="F247" t="s">
        <v>348</v>
      </c>
      <c r="G247" t="s">
        <v>367</v>
      </c>
      <c r="H247" t="s">
        <v>368</v>
      </c>
      <c r="I247" t="s">
        <v>632</v>
      </c>
      <c r="J247" t="s">
        <v>633</v>
      </c>
      <c r="K247">
        <v>265</v>
      </c>
      <c r="L247">
        <v>15.6</v>
      </c>
      <c r="M247" t="s">
        <v>1003</v>
      </c>
      <c r="N247">
        <v>37.677300000000002</v>
      </c>
      <c r="O247">
        <v>-121.5296</v>
      </c>
      <c r="P247">
        <v>323</v>
      </c>
      <c r="Q247">
        <v>3</v>
      </c>
      <c r="R247">
        <v>2010</v>
      </c>
      <c r="S247">
        <v>2012</v>
      </c>
      <c r="T247" t="s">
        <v>1475</v>
      </c>
      <c r="U247" t="s">
        <v>1476</v>
      </c>
      <c r="Z247">
        <v>2010</v>
      </c>
      <c r="AA247">
        <v>2015</v>
      </c>
      <c r="AB247" t="s">
        <v>720</v>
      </c>
    </row>
    <row r="248" spans="1:28" x14ac:dyDescent="0.25">
      <c r="A248" t="s">
        <v>1477</v>
      </c>
      <c r="B248" t="s">
        <v>1478</v>
      </c>
      <c r="C248" t="s">
        <v>1297</v>
      </c>
      <c r="D248" t="s">
        <v>346</v>
      </c>
      <c r="E248" t="s">
        <v>347</v>
      </c>
      <c r="F248" t="s">
        <v>348</v>
      </c>
      <c r="G248" t="s">
        <v>479</v>
      </c>
      <c r="H248" t="s">
        <v>480</v>
      </c>
      <c r="I248" t="s">
        <v>360</v>
      </c>
      <c r="J248" t="s">
        <v>361</v>
      </c>
      <c r="K248">
        <v>1126.6300000000001</v>
      </c>
      <c r="L248">
        <v>11.07</v>
      </c>
      <c r="M248" t="s">
        <v>1003</v>
      </c>
      <c r="N248">
        <v>39.971200000000003</v>
      </c>
      <c r="O248">
        <v>-74.434600000000003</v>
      </c>
      <c r="P248">
        <v>48</v>
      </c>
      <c r="Q248">
        <v>4</v>
      </c>
      <c r="R248">
        <v>2005</v>
      </c>
      <c r="S248">
        <v>2008</v>
      </c>
      <c r="T248" t="s">
        <v>1479</v>
      </c>
      <c r="U248" t="s">
        <v>1480</v>
      </c>
      <c r="Z248">
        <v>2005</v>
      </c>
      <c r="AA248">
        <v>2008</v>
      </c>
      <c r="AB248" t="s">
        <v>720</v>
      </c>
    </row>
    <row r="249" spans="1:28" x14ac:dyDescent="0.25">
      <c r="A249" t="s">
        <v>1481</v>
      </c>
      <c r="B249" t="s">
        <v>1482</v>
      </c>
      <c r="C249" t="s">
        <v>1483</v>
      </c>
      <c r="D249" t="s">
        <v>346</v>
      </c>
      <c r="E249" t="s">
        <v>347</v>
      </c>
      <c r="F249" t="s">
        <v>348</v>
      </c>
      <c r="G249" t="s">
        <v>367</v>
      </c>
      <c r="H249" t="s">
        <v>368</v>
      </c>
      <c r="I249" t="s">
        <v>360</v>
      </c>
      <c r="J249" t="s">
        <v>361</v>
      </c>
      <c r="K249">
        <v>1169.75</v>
      </c>
      <c r="L249">
        <v>14.36</v>
      </c>
      <c r="M249" t="s">
        <v>1003</v>
      </c>
      <c r="N249">
        <v>35.971200000000003</v>
      </c>
      <c r="O249">
        <v>-79.093400000000003</v>
      </c>
      <c r="P249">
        <v>168</v>
      </c>
      <c r="Q249">
        <v>8</v>
      </c>
      <c r="R249">
        <v>2001</v>
      </c>
      <c r="S249">
        <v>2008</v>
      </c>
      <c r="T249" t="s">
        <v>1484</v>
      </c>
      <c r="U249" t="s">
        <v>1485</v>
      </c>
      <c r="Z249">
        <v>2001</v>
      </c>
      <c r="AA249">
        <v>2008</v>
      </c>
      <c r="AB249" t="s">
        <v>1486</v>
      </c>
    </row>
    <row r="250" spans="1:28" x14ac:dyDescent="0.25">
      <c r="A250" t="s">
        <v>1487</v>
      </c>
      <c r="B250" t="s">
        <v>1488</v>
      </c>
      <c r="C250" t="s">
        <v>1483</v>
      </c>
      <c r="D250" t="s">
        <v>346</v>
      </c>
      <c r="E250" t="s">
        <v>347</v>
      </c>
      <c r="F250" t="s">
        <v>348</v>
      </c>
      <c r="G250" t="s">
        <v>428</v>
      </c>
      <c r="H250" t="s">
        <v>429</v>
      </c>
      <c r="I250" t="s">
        <v>360</v>
      </c>
      <c r="J250" t="s">
        <v>361</v>
      </c>
      <c r="K250">
        <v>1168.69</v>
      </c>
      <c r="L250">
        <v>14.36</v>
      </c>
      <c r="M250" t="s">
        <v>1003</v>
      </c>
      <c r="N250">
        <v>35.973599999999998</v>
      </c>
      <c r="O250">
        <v>-79.100399999999993</v>
      </c>
      <c r="P250">
        <v>168</v>
      </c>
      <c r="Q250">
        <v>8</v>
      </c>
      <c r="R250">
        <v>2001</v>
      </c>
      <c r="S250">
        <v>2008</v>
      </c>
      <c r="T250" t="s">
        <v>1484</v>
      </c>
      <c r="U250" t="s">
        <v>1489</v>
      </c>
      <c r="Z250">
        <v>2001</v>
      </c>
      <c r="AA250">
        <v>2008</v>
      </c>
      <c r="AB250" t="s">
        <v>1486</v>
      </c>
    </row>
    <row r="251" spans="1:28" x14ac:dyDescent="0.25">
      <c r="A251" t="s">
        <v>1490</v>
      </c>
      <c r="B251" t="s">
        <v>1491</v>
      </c>
      <c r="C251" t="s">
        <v>1483</v>
      </c>
      <c r="D251" t="s">
        <v>346</v>
      </c>
      <c r="E251" t="s">
        <v>347</v>
      </c>
      <c r="F251" t="s">
        <v>348</v>
      </c>
      <c r="G251" t="s">
        <v>513</v>
      </c>
      <c r="H251" t="s">
        <v>514</v>
      </c>
      <c r="I251" t="s">
        <v>360</v>
      </c>
      <c r="J251" t="s">
        <v>361</v>
      </c>
      <c r="K251">
        <v>1169.69</v>
      </c>
      <c r="L251">
        <v>14.36</v>
      </c>
      <c r="M251" t="s">
        <v>1003</v>
      </c>
      <c r="N251">
        <v>35.978200000000001</v>
      </c>
      <c r="O251">
        <v>-79.094200000000001</v>
      </c>
      <c r="P251">
        <v>163</v>
      </c>
      <c r="Q251">
        <v>8</v>
      </c>
      <c r="R251">
        <v>2001</v>
      </c>
      <c r="S251">
        <v>2008</v>
      </c>
      <c r="T251" t="s">
        <v>1484</v>
      </c>
      <c r="U251" t="s">
        <v>1492</v>
      </c>
      <c r="Z251">
        <v>2001</v>
      </c>
      <c r="AA251">
        <v>2008</v>
      </c>
      <c r="AB251" t="s">
        <v>1486</v>
      </c>
    </row>
    <row r="252" spans="1:28" x14ac:dyDescent="0.25">
      <c r="A252" t="s">
        <v>1493</v>
      </c>
      <c r="B252" t="s">
        <v>1494</v>
      </c>
      <c r="C252" t="s">
        <v>1167</v>
      </c>
      <c r="D252" t="s">
        <v>346</v>
      </c>
      <c r="E252" t="s">
        <v>347</v>
      </c>
      <c r="F252" t="s">
        <v>347</v>
      </c>
      <c r="G252" t="s">
        <v>376</v>
      </c>
      <c r="H252" t="s">
        <v>377</v>
      </c>
      <c r="I252" t="s">
        <v>632</v>
      </c>
      <c r="J252" t="s">
        <v>633</v>
      </c>
      <c r="K252">
        <v>365</v>
      </c>
      <c r="L252">
        <v>16.100000000000001</v>
      </c>
      <c r="M252" t="s">
        <v>1003</v>
      </c>
      <c r="N252">
        <v>38.0015</v>
      </c>
      <c r="O252">
        <v>-121.6691</v>
      </c>
      <c r="P252">
        <v>1</v>
      </c>
      <c r="Q252">
        <v>4</v>
      </c>
      <c r="R252">
        <v>2021</v>
      </c>
      <c r="S252">
        <v>2024</v>
      </c>
      <c r="T252" t="s">
        <v>1495</v>
      </c>
      <c r="U252" t="s">
        <v>1496</v>
      </c>
      <c r="V252">
        <v>2021</v>
      </c>
      <c r="W252">
        <v>2023</v>
      </c>
      <c r="X252" t="s">
        <v>592</v>
      </c>
      <c r="Y252" t="s">
        <v>1497</v>
      </c>
      <c r="Z252">
        <v>2021</v>
      </c>
      <c r="AB252" t="s">
        <v>1498</v>
      </c>
    </row>
    <row r="253" spans="1:28" x14ac:dyDescent="0.25">
      <c r="A253" t="s">
        <v>1499</v>
      </c>
      <c r="B253" t="s">
        <v>1500</v>
      </c>
      <c r="C253" t="s">
        <v>1501</v>
      </c>
      <c r="D253" t="s">
        <v>346</v>
      </c>
      <c r="E253" t="s">
        <v>348</v>
      </c>
      <c r="F253" t="s">
        <v>348</v>
      </c>
      <c r="G253" t="s">
        <v>513</v>
      </c>
      <c r="H253" t="s">
        <v>514</v>
      </c>
      <c r="I253" t="s">
        <v>435</v>
      </c>
      <c r="J253" t="s">
        <v>436</v>
      </c>
      <c r="K253">
        <v>1142</v>
      </c>
      <c r="L253">
        <v>22.6</v>
      </c>
      <c r="M253" t="s">
        <v>1003</v>
      </c>
      <c r="N253">
        <v>28.104600000000001</v>
      </c>
      <c r="O253">
        <v>-81.418999999999997</v>
      </c>
      <c r="P253">
        <v>23</v>
      </c>
      <c r="Q253">
        <v>0</v>
      </c>
      <c r="Z253">
        <v>2010</v>
      </c>
      <c r="AA253">
        <v>2016</v>
      </c>
    </row>
    <row r="254" spans="1:28" x14ac:dyDescent="0.25">
      <c r="A254" t="s">
        <v>1502</v>
      </c>
      <c r="B254" t="s">
        <v>1503</v>
      </c>
      <c r="C254" t="s">
        <v>1135</v>
      </c>
      <c r="D254" t="s">
        <v>346</v>
      </c>
      <c r="E254" t="s">
        <v>347</v>
      </c>
      <c r="F254" t="s">
        <v>348</v>
      </c>
      <c r="G254" t="s">
        <v>376</v>
      </c>
      <c r="H254" t="s">
        <v>377</v>
      </c>
      <c r="I254" t="s">
        <v>435</v>
      </c>
      <c r="J254" t="s">
        <v>436</v>
      </c>
      <c r="K254">
        <v>1142</v>
      </c>
      <c r="L254">
        <v>22.6</v>
      </c>
      <c r="M254" t="s">
        <v>1003</v>
      </c>
      <c r="N254">
        <v>28.052099999999999</v>
      </c>
      <c r="O254">
        <v>-81.436099999999996</v>
      </c>
      <c r="P254">
        <v>23</v>
      </c>
      <c r="Q254">
        <v>5</v>
      </c>
      <c r="R254">
        <v>2013</v>
      </c>
      <c r="S254">
        <v>2017</v>
      </c>
      <c r="T254" t="s">
        <v>452</v>
      </c>
      <c r="U254" t="s">
        <v>1504</v>
      </c>
      <c r="Z254">
        <v>2013</v>
      </c>
      <c r="AA254">
        <v>2017</v>
      </c>
      <c r="AB254" t="s">
        <v>1505</v>
      </c>
    </row>
    <row r="255" spans="1:28" x14ac:dyDescent="0.25">
      <c r="A255" t="s">
        <v>1506</v>
      </c>
      <c r="B255" t="s">
        <v>1507</v>
      </c>
      <c r="C255" t="s">
        <v>1508</v>
      </c>
      <c r="D255" t="s">
        <v>346</v>
      </c>
      <c r="E255" t="s">
        <v>347</v>
      </c>
      <c r="F255" t="s">
        <v>348</v>
      </c>
      <c r="G255" t="s">
        <v>349</v>
      </c>
      <c r="H255" t="s">
        <v>350</v>
      </c>
      <c r="I255" t="s">
        <v>632</v>
      </c>
      <c r="J255" t="s">
        <v>633</v>
      </c>
      <c r="K255">
        <v>432</v>
      </c>
      <c r="L255">
        <v>16</v>
      </c>
      <c r="M255" t="s">
        <v>1003</v>
      </c>
      <c r="N255">
        <v>38.133499999999998</v>
      </c>
      <c r="O255">
        <v>-121.539</v>
      </c>
      <c r="P255">
        <v>-6</v>
      </c>
      <c r="Q255">
        <v>3</v>
      </c>
      <c r="R255">
        <v>2018</v>
      </c>
      <c r="S255">
        <v>2020</v>
      </c>
      <c r="T255" t="s">
        <v>506</v>
      </c>
      <c r="U255" t="s">
        <v>1509</v>
      </c>
      <c r="Z255">
        <v>2018</v>
      </c>
      <c r="AA255">
        <v>2020</v>
      </c>
      <c r="AB255" t="s">
        <v>1510</v>
      </c>
    </row>
    <row r="256" spans="1:28" x14ac:dyDescent="0.25">
      <c r="A256" t="s">
        <v>1511</v>
      </c>
      <c r="B256" t="s">
        <v>1512</v>
      </c>
      <c r="C256" t="s">
        <v>1513</v>
      </c>
      <c r="D256" t="s">
        <v>346</v>
      </c>
      <c r="E256" t="s">
        <v>347</v>
      </c>
      <c r="F256" t="s">
        <v>348</v>
      </c>
      <c r="G256" t="s">
        <v>349</v>
      </c>
      <c r="H256" t="s">
        <v>350</v>
      </c>
      <c r="I256" t="s">
        <v>632</v>
      </c>
      <c r="J256" t="s">
        <v>633</v>
      </c>
      <c r="K256">
        <v>432</v>
      </c>
      <c r="L256">
        <v>16</v>
      </c>
      <c r="M256" t="s">
        <v>1003</v>
      </c>
      <c r="N256">
        <v>38.137500000000003</v>
      </c>
      <c r="O256">
        <v>-121.514</v>
      </c>
      <c r="P256">
        <v>-6</v>
      </c>
      <c r="Q256">
        <v>4</v>
      </c>
      <c r="R256">
        <v>2020</v>
      </c>
      <c r="S256">
        <v>2023</v>
      </c>
      <c r="T256" t="s">
        <v>1514</v>
      </c>
      <c r="U256" t="s">
        <v>1515</v>
      </c>
      <c r="Z256">
        <v>2020</v>
      </c>
      <c r="AA256">
        <v>2024</v>
      </c>
      <c r="AB256" t="s">
        <v>1510</v>
      </c>
    </row>
    <row r="257" spans="1:28" x14ac:dyDescent="0.25">
      <c r="A257" t="s">
        <v>29</v>
      </c>
      <c r="B257" t="s">
        <v>1516</v>
      </c>
      <c r="C257" t="s">
        <v>1513</v>
      </c>
      <c r="D257" t="s">
        <v>346</v>
      </c>
      <c r="E257" t="s">
        <v>347</v>
      </c>
      <c r="F257" t="s">
        <v>347</v>
      </c>
      <c r="G257" t="s">
        <v>349</v>
      </c>
      <c r="H257" t="s">
        <v>350</v>
      </c>
      <c r="I257" t="s">
        <v>632</v>
      </c>
      <c r="J257" t="s">
        <v>633</v>
      </c>
      <c r="K257">
        <v>432</v>
      </c>
      <c r="L257">
        <v>16</v>
      </c>
      <c r="M257" t="s">
        <v>1003</v>
      </c>
      <c r="N257">
        <v>38.1235</v>
      </c>
      <c r="O257">
        <v>-121.54900000000001</v>
      </c>
      <c r="P257">
        <v>-7</v>
      </c>
      <c r="Q257">
        <v>3</v>
      </c>
      <c r="R257">
        <v>2021</v>
      </c>
      <c r="S257">
        <v>2023</v>
      </c>
      <c r="T257" t="s">
        <v>592</v>
      </c>
      <c r="U257" t="s">
        <v>1517</v>
      </c>
      <c r="V257">
        <v>2021</v>
      </c>
      <c r="W257">
        <v>2023</v>
      </c>
      <c r="X257" t="s">
        <v>592</v>
      </c>
      <c r="Y257" t="s">
        <v>1518</v>
      </c>
      <c r="Z257">
        <v>2021</v>
      </c>
      <c r="AB257" t="s">
        <v>1519</v>
      </c>
    </row>
    <row r="258" spans="1:28" x14ac:dyDescent="0.25">
      <c r="A258" t="s">
        <v>1520</v>
      </c>
      <c r="B258" t="s">
        <v>1521</v>
      </c>
      <c r="C258" t="s">
        <v>1522</v>
      </c>
      <c r="D258" t="s">
        <v>346</v>
      </c>
      <c r="E258" t="s">
        <v>347</v>
      </c>
      <c r="F258" t="s">
        <v>348</v>
      </c>
      <c r="G258" t="s">
        <v>479</v>
      </c>
      <c r="H258" t="s">
        <v>480</v>
      </c>
      <c r="I258" t="s">
        <v>360</v>
      </c>
      <c r="J258" t="s">
        <v>361</v>
      </c>
      <c r="K258">
        <v>836</v>
      </c>
      <c r="L258">
        <v>20.3</v>
      </c>
      <c r="M258" t="s">
        <v>1003</v>
      </c>
      <c r="N258">
        <v>29.6633</v>
      </c>
      <c r="O258">
        <v>-98.381600000000006</v>
      </c>
      <c r="P258">
        <v>297</v>
      </c>
      <c r="Q258">
        <v>4</v>
      </c>
      <c r="R258">
        <v>2021</v>
      </c>
      <c r="S258">
        <v>2024</v>
      </c>
      <c r="T258" t="s">
        <v>1495</v>
      </c>
      <c r="U258" t="s">
        <v>1523</v>
      </c>
      <c r="Z258">
        <v>2021</v>
      </c>
      <c r="AB258" t="s">
        <v>1524</v>
      </c>
    </row>
    <row r="259" spans="1:28" x14ac:dyDescent="0.25">
      <c r="A259" t="s">
        <v>1525</v>
      </c>
      <c r="B259" t="s">
        <v>1526</v>
      </c>
      <c r="C259" t="s">
        <v>1527</v>
      </c>
      <c r="D259" t="s">
        <v>346</v>
      </c>
      <c r="E259" t="s">
        <v>347</v>
      </c>
      <c r="F259" t="s">
        <v>348</v>
      </c>
      <c r="G259" t="s">
        <v>925</v>
      </c>
      <c r="H259" t="s">
        <v>926</v>
      </c>
      <c r="I259" t="s">
        <v>360</v>
      </c>
      <c r="J259" t="s">
        <v>361</v>
      </c>
      <c r="K259">
        <v>632</v>
      </c>
      <c r="L259">
        <v>20.9</v>
      </c>
      <c r="M259" t="s">
        <v>1003</v>
      </c>
      <c r="N259">
        <v>29.3584</v>
      </c>
      <c r="O259">
        <v>-99.957599999999999</v>
      </c>
      <c r="P259">
        <v>322</v>
      </c>
      <c r="Q259">
        <v>3</v>
      </c>
      <c r="R259">
        <v>2021</v>
      </c>
      <c r="S259">
        <v>2023</v>
      </c>
      <c r="T259" t="s">
        <v>592</v>
      </c>
      <c r="U259" t="s">
        <v>1528</v>
      </c>
      <c r="Z259">
        <v>2021</v>
      </c>
      <c r="AA259">
        <v>2023</v>
      </c>
      <c r="AB259" t="s">
        <v>1529</v>
      </c>
    </row>
    <row r="260" spans="1:28" x14ac:dyDescent="0.25">
      <c r="A260" t="s">
        <v>1530</v>
      </c>
      <c r="B260" t="s">
        <v>1531</v>
      </c>
      <c r="C260" t="s">
        <v>1527</v>
      </c>
      <c r="D260" t="s">
        <v>346</v>
      </c>
      <c r="E260" t="s">
        <v>347</v>
      </c>
      <c r="F260" t="s">
        <v>348</v>
      </c>
      <c r="G260" t="s">
        <v>433</v>
      </c>
      <c r="H260" t="s">
        <v>434</v>
      </c>
      <c r="I260" t="s">
        <v>360</v>
      </c>
      <c r="J260" t="s">
        <v>361</v>
      </c>
      <c r="K260">
        <v>703</v>
      </c>
      <c r="L260">
        <v>19.399999999999999</v>
      </c>
      <c r="M260" t="s">
        <v>1003</v>
      </c>
      <c r="N260">
        <v>29.656099999999999</v>
      </c>
      <c r="O260">
        <v>-99.958799999999997</v>
      </c>
      <c r="P260">
        <v>480</v>
      </c>
      <c r="Q260">
        <v>2</v>
      </c>
      <c r="R260">
        <v>2023</v>
      </c>
      <c r="S260">
        <v>2024</v>
      </c>
      <c r="T260" t="s">
        <v>484</v>
      </c>
      <c r="U260" t="s">
        <v>1532</v>
      </c>
      <c r="Z260">
        <v>2023</v>
      </c>
      <c r="AB260" t="s">
        <v>1524</v>
      </c>
    </row>
    <row r="261" spans="1:28" x14ac:dyDescent="0.25">
      <c r="A261" t="s">
        <v>30</v>
      </c>
      <c r="B261" t="s">
        <v>1533</v>
      </c>
      <c r="C261" t="s">
        <v>1320</v>
      </c>
      <c r="D261" t="s">
        <v>346</v>
      </c>
      <c r="E261" t="s">
        <v>347</v>
      </c>
      <c r="F261" t="s">
        <v>347</v>
      </c>
      <c r="G261" t="s">
        <v>376</v>
      </c>
      <c r="H261" t="s">
        <v>377</v>
      </c>
      <c r="I261" t="s">
        <v>632</v>
      </c>
      <c r="J261" t="s">
        <v>633</v>
      </c>
      <c r="M261" t="s">
        <v>1003</v>
      </c>
      <c r="N261">
        <v>37.615600000000001</v>
      </c>
      <c r="O261">
        <v>-122.114</v>
      </c>
      <c r="Q261">
        <v>4</v>
      </c>
      <c r="R261">
        <v>2018</v>
      </c>
      <c r="S261">
        <v>2021</v>
      </c>
      <c r="T261" t="s">
        <v>1469</v>
      </c>
      <c r="U261" t="s">
        <v>1534</v>
      </c>
      <c r="V261">
        <v>2018</v>
      </c>
      <c r="W261">
        <v>2019</v>
      </c>
      <c r="X261" t="s">
        <v>985</v>
      </c>
      <c r="Y261" t="s">
        <v>1535</v>
      </c>
      <c r="Z261">
        <v>2018</v>
      </c>
      <c r="AB261" t="s">
        <v>1536</v>
      </c>
    </row>
    <row r="262" spans="1:28" x14ac:dyDescent="0.25">
      <c r="A262" t="s">
        <v>1537</v>
      </c>
      <c r="B262" t="s">
        <v>1538</v>
      </c>
      <c r="C262" t="s">
        <v>1539</v>
      </c>
      <c r="D262" t="s">
        <v>346</v>
      </c>
      <c r="E262" t="s">
        <v>347</v>
      </c>
      <c r="F262" t="s">
        <v>348</v>
      </c>
      <c r="G262" t="s">
        <v>376</v>
      </c>
      <c r="H262" t="s">
        <v>377</v>
      </c>
      <c r="I262" t="s">
        <v>573</v>
      </c>
      <c r="J262" t="s">
        <v>574</v>
      </c>
      <c r="K262">
        <v>894</v>
      </c>
      <c r="L262">
        <v>10</v>
      </c>
      <c r="M262" t="s">
        <v>1003</v>
      </c>
      <c r="N262">
        <v>36.809399999999997</v>
      </c>
      <c r="O262">
        <v>-121.75230000000001</v>
      </c>
      <c r="P262">
        <v>0.5</v>
      </c>
      <c r="Q262">
        <v>3</v>
      </c>
      <c r="R262">
        <v>2022</v>
      </c>
      <c r="S262">
        <v>2024</v>
      </c>
      <c r="T262" t="s">
        <v>1540</v>
      </c>
      <c r="U262" t="s">
        <v>1541</v>
      </c>
      <c r="Z262">
        <v>2022</v>
      </c>
      <c r="AB262" t="s">
        <v>1542</v>
      </c>
    </row>
    <row r="263" spans="1:28" x14ac:dyDescent="0.25">
      <c r="A263" t="s">
        <v>1543</v>
      </c>
      <c r="B263" t="s">
        <v>1544</v>
      </c>
      <c r="C263" t="s">
        <v>1539</v>
      </c>
      <c r="D263" t="s">
        <v>346</v>
      </c>
      <c r="E263" t="s">
        <v>348</v>
      </c>
      <c r="F263" t="s">
        <v>348</v>
      </c>
      <c r="G263" t="s">
        <v>376</v>
      </c>
      <c r="H263" t="s">
        <v>377</v>
      </c>
      <c r="I263" t="s">
        <v>1545</v>
      </c>
      <c r="J263" t="s">
        <v>1546</v>
      </c>
      <c r="K263">
        <v>894</v>
      </c>
      <c r="L263">
        <v>10</v>
      </c>
      <c r="M263" t="s">
        <v>1003</v>
      </c>
      <c r="N263">
        <v>36.835700000000003</v>
      </c>
      <c r="O263">
        <v>-121.7328</v>
      </c>
      <c r="P263">
        <v>0</v>
      </c>
      <c r="Q263">
        <v>0</v>
      </c>
      <c r="Z263">
        <v>2023</v>
      </c>
    </row>
    <row r="264" spans="1:28" x14ac:dyDescent="0.25">
      <c r="A264" t="s">
        <v>1547</v>
      </c>
      <c r="B264" t="s">
        <v>1548</v>
      </c>
      <c r="C264" t="s">
        <v>1539</v>
      </c>
      <c r="D264" t="s">
        <v>346</v>
      </c>
      <c r="E264" t="s">
        <v>347</v>
      </c>
      <c r="F264" t="s">
        <v>348</v>
      </c>
      <c r="G264" t="s">
        <v>376</v>
      </c>
      <c r="H264" t="s">
        <v>377</v>
      </c>
      <c r="I264" t="s">
        <v>573</v>
      </c>
      <c r="J264" t="s">
        <v>574</v>
      </c>
      <c r="K264">
        <v>894</v>
      </c>
      <c r="L264">
        <v>10</v>
      </c>
      <c r="M264" t="s">
        <v>1003</v>
      </c>
      <c r="N264">
        <v>36.855800000000002</v>
      </c>
      <c r="O264">
        <v>-121.7488</v>
      </c>
      <c r="P264">
        <v>0</v>
      </c>
      <c r="Q264">
        <v>3</v>
      </c>
      <c r="R264">
        <v>2022</v>
      </c>
      <c r="S264">
        <v>2024</v>
      </c>
      <c r="T264" t="s">
        <v>1540</v>
      </c>
      <c r="U264" t="s">
        <v>1549</v>
      </c>
      <c r="Z264">
        <v>2022</v>
      </c>
      <c r="AB264" t="s">
        <v>1550</v>
      </c>
    </row>
    <row r="265" spans="1:28" x14ac:dyDescent="0.25">
      <c r="A265" t="s">
        <v>1551</v>
      </c>
      <c r="B265" t="s">
        <v>1552</v>
      </c>
      <c r="C265" t="s">
        <v>1539</v>
      </c>
      <c r="D265" t="s">
        <v>346</v>
      </c>
      <c r="E265" t="s">
        <v>348</v>
      </c>
      <c r="F265" t="s">
        <v>348</v>
      </c>
      <c r="G265" t="s">
        <v>376</v>
      </c>
      <c r="H265" t="s">
        <v>377</v>
      </c>
      <c r="I265" t="s">
        <v>573</v>
      </c>
      <c r="J265" t="s">
        <v>574</v>
      </c>
      <c r="K265">
        <v>894</v>
      </c>
      <c r="L265">
        <v>10</v>
      </c>
      <c r="M265" t="s">
        <v>1003</v>
      </c>
      <c r="N265">
        <v>36.810499999999998</v>
      </c>
      <c r="O265">
        <v>-121.7487</v>
      </c>
      <c r="P265">
        <v>0</v>
      </c>
      <c r="Q265">
        <v>0</v>
      </c>
      <c r="Z265">
        <v>2022</v>
      </c>
    </row>
    <row r="266" spans="1:28" x14ac:dyDescent="0.25">
      <c r="A266" t="s">
        <v>1553</v>
      </c>
      <c r="B266" t="s">
        <v>1554</v>
      </c>
      <c r="C266" t="s">
        <v>1555</v>
      </c>
      <c r="D266" t="s">
        <v>346</v>
      </c>
      <c r="E266" t="s">
        <v>347</v>
      </c>
      <c r="F266" t="s">
        <v>348</v>
      </c>
      <c r="G266" t="s">
        <v>376</v>
      </c>
      <c r="H266" t="s">
        <v>377</v>
      </c>
      <c r="M266" t="s">
        <v>1003</v>
      </c>
      <c r="N266">
        <v>25.5519</v>
      </c>
      <c r="O266">
        <v>-80.782600000000002</v>
      </c>
      <c r="P266">
        <v>0.77</v>
      </c>
      <c r="Q266">
        <v>16</v>
      </c>
      <c r="R266">
        <v>2008</v>
      </c>
      <c r="S266">
        <v>2023</v>
      </c>
      <c r="T266" t="s">
        <v>1556</v>
      </c>
      <c r="U266" t="s">
        <v>1557</v>
      </c>
      <c r="Z266">
        <v>2007</v>
      </c>
      <c r="AB266" t="s">
        <v>1558</v>
      </c>
    </row>
    <row r="267" spans="1:28" x14ac:dyDescent="0.25">
      <c r="A267" t="s">
        <v>31</v>
      </c>
      <c r="B267" t="s">
        <v>1559</v>
      </c>
      <c r="C267" t="s">
        <v>1560</v>
      </c>
      <c r="D267" t="s">
        <v>346</v>
      </c>
      <c r="E267" t="s">
        <v>347</v>
      </c>
      <c r="F267" t="s">
        <v>347</v>
      </c>
      <c r="G267" t="s">
        <v>581</v>
      </c>
      <c r="H267" t="s">
        <v>582</v>
      </c>
      <c r="I267" t="s">
        <v>680</v>
      </c>
      <c r="J267" t="s">
        <v>681</v>
      </c>
      <c r="K267">
        <v>378</v>
      </c>
      <c r="L267">
        <v>-1</v>
      </c>
      <c r="M267" t="s">
        <v>1003</v>
      </c>
      <c r="N267">
        <v>63.878399999999999</v>
      </c>
      <c r="O267">
        <v>-149.25360000000001</v>
      </c>
      <c r="P267">
        <v>662</v>
      </c>
      <c r="Q267">
        <v>13</v>
      </c>
      <c r="R267">
        <v>2008</v>
      </c>
      <c r="S267">
        <v>2020</v>
      </c>
      <c r="T267" t="s">
        <v>1561</v>
      </c>
      <c r="U267" t="s">
        <v>1562</v>
      </c>
      <c r="V267">
        <v>2008</v>
      </c>
      <c r="W267">
        <v>2020</v>
      </c>
      <c r="X267" t="s">
        <v>1561</v>
      </c>
      <c r="Y267" t="s">
        <v>1563</v>
      </c>
      <c r="Z267">
        <v>2008</v>
      </c>
      <c r="AB267" t="s">
        <v>1564</v>
      </c>
    </row>
    <row r="268" spans="1:28" x14ac:dyDescent="0.25">
      <c r="A268" t="s">
        <v>1565</v>
      </c>
      <c r="B268" t="s">
        <v>1566</v>
      </c>
      <c r="C268" t="s">
        <v>1567</v>
      </c>
      <c r="D268" t="s">
        <v>346</v>
      </c>
      <c r="E268" t="s">
        <v>348</v>
      </c>
      <c r="F268" t="s">
        <v>348</v>
      </c>
      <c r="G268" t="s">
        <v>1436</v>
      </c>
      <c r="H268" t="s">
        <v>1437</v>
      </c>
      <c r="I268" t="s">
        <v>360</v>
      </c>
      <c r="J268" t="s">
        <v>361</v>
      </c>
      <c r="K268">
        <v>600</v>
      </c>
      <c r="L268">
        <v>19</v>
      </c>
      <c r="M268" t="s">
        <v>1003</v>
      </c>
      <c r="N268">
        <v>30.816700000000001</v>
      </c>
      <c r="O268">
        <v>-99.861900000000006</v>
      </c>
      <c r="Q268">
        <v>0</v>
      </c>
      <c r="Z268">
        <v>2020</v>
      </c>
    </row>
    <row r="269" spans="1:28" x14ac:dyDescent="0.25">
      <c r="A269" t="s">
        <v>1568</v>
      </c>
      <c r="B269" t="s">
        <v>1569</v>
      </c>
      <c r="C269" t="s">
        <v>1555</v>
      </c>
      <c r="D269" t="s">
        <v>346</v>
      </c>
      <c r="E269" t="s">
        <v>347</v>
      </c>
      <c r="F269" t="s">
        <v>348</v>
      </c>
      <c r="G269" t="s">
        <v>376</v>
      </c>
      <c r="H269" t="s">
        <v>377</v>
      </c>
      <c r="M269" t="s">
        <v>1003</v>
      </c>
      <c r="N269">
        <v>25.437899999999999</v>
      </c>
      <c r="O269">
        <v>-80.5946</v>
      </c>
      <c r="P269">
        <v>1.07</v>
      </c>
      <c r="Q269">
        <v>16</v>
      </c>
      <c r="R269">
        <v>2008</v>
      </c>
      <c r="S269">
        <v>2023</v>
      </c>
      <c r="T269" t="s">
        <v>1556</v>
      </c>
      <c r="U269" t="s">
        <v>1570</v>
      </c>
      <c r="Z269">
        <v>2007</v>
      </c>
      <c r="AB269" t="s">
        <v>1558</v>
      </c>
    </row>
    <row r="270" spans="1:28" x14ac:dyDescent="0.25">
      <c r="A270" t="s">
        <v>1571</v>
      </c>
      <c r="B270" t="s">
        <v>1572</v>
      </c>
      <c r="C270" t="s">
        <v>1573</v>
      </c>
      <c r="D270" t="s">
        <v>346</v>
      </c>
      <c r="E270" t="s">
        <v>347</v>
      </c>
      <c r="F270" t="s">
        <v>348</v>
      </c>
      <c r="G270" t="s">
        <v>376</v>
      </c>
      <c r="H270" t="s">
        <v>377</v>
      </c>
      <c r="K270">
        <v>1200</v>
      </c>
      <c r="L270">
        <v>24.2</v>
      </c>
      <c r="M270" t="s">
        <v>1003</v>
      </c>
      <c r="N270">
        <v>25.353899999999999</v>
      </c>
      <c r="O270">
        <v>-80.381</v>
      </c>
      <c r="P270">
        <v>0.33200000000000002</v>
      </c>
      <c r="Q270">
        <v>4</v>
      </c>
      <c r="R270">
        <v>2020</v>
      </c>
      <c r="S270">
        <v>2023</v>
      </c>
      <c r="T270" t="s">
        <v>1514</v>
      </c>
      <c r="U270" t="s">
        <v>1574</v>
      </c>
      <c r="Z270">
        <v>2020</v>
      </c>
      <c r="AB270" t="s">
        <v>1575</v>
      </c>
    </row>
    <row r="271" spans="1:28" x14ac:dyDescent="0.25">
      <c r="A271" t="s">
        <v>1576</v>
      </c>
      <c r="B271" t="s">
        <v>1577</v>
      </c>
      <c r="C271" t="s">
        <v>1578</v>
      </c>
      <c r="D271" t="s">
        <v>346</v>
      </c>
      <c r="E271" t="s">
        <v>348</v>
      </c>
      <c r="F271" t="s">
        <v>348</v>
      </c>
      <c r="G271" t="s">
        <v>918</v>
      </c>
      <c r="H271" t="s">
        <v>919</v>
      </c>
      <c r="I271" t="s">
        <v>360</v>
      </c>
      <c r="J271" t="s">
        <v>361</v>
      </c>
      <c r="K271">
        <v>1525</v>
      </c>
      <c r="L271">
        <v>25.5</v>
      </c>
      <c r="M271" t="s">
        <v>1003</v>
      </c>
      <c r="N271">
        <v>25.026599999999998</v>
      </c>
      <c r="O271">
        <v>-80.681399999999996</v>
      </c>
      <c r="P271">
        <v>0</v>
      </c>
      <c r="Q271">
        <v>0</v>
      </c>
      <c r="Z271">
        <v>2018</v>
      </c>
    </row>
    <row r="272" spans="1:28" x14ac:dyDescent="0.25">
      <c r="A272" t="s">
        <v>1579</v>
      </c>
      <c r="B272" t="s">
        <v>1580</v>
      </c>
      <c r="C272" t="s">
        <v>1338</v>
      </c>
      <c r="D272" t="s">
        <v>346</v>
      </c>
      <c r="E272" t="s">
        <v>347</v>
      </c>
      <c r="F272" t="s">
        <v>347</v>
      </c>
      <c r="G272" t="s">
        <v>581</v>
      </c>
      <c r="H272" t="s">
        <v>582</v>
      </c>
      <c r="I272" t="s">
        <v>1581</v>
      </c>
      <c r="J272" t="s">
        <v>1582</v>
      </c>
      <c r="L272">
        <v>-2.4</v>
      </c>
      <c r="M272" t="s">
        <v>1003</v>
      </c>
      <c r="N272">
        <v>65.396799999999999</v>
      </c>
      <c r="O272">
        <v>-148.9348</v>
      </c>
      <c r="P272">
        <v>265</v>
      </c>
      <c r="Q272">
        <v>4</v>
      </c>
      <c r="R272">
        <v>2011</v>
      </c>
      <c r="S272">
        <v>2014</v>
      </c>
      <c r="T272" t="s">
        <v>1583</v>
      </c>
      <c r="U272" t="s">
        <v>1584</v>
      </c>
      <c r="V272">
        <v>2011</v>
      </c>
      <c r="W272">
        <v>2014</v>
      </c>
      <c r="X272" t="s">
        <v>1583</v>
      </c>
      <c r="Y272" t="s">
        <v>1585</v>
      </c>
      <c r="Z272">
        <v>2011</v>
      </c>
      <c r="AA272">
        <v>2014</v>
      </c>
      <c r="AB272" t="s">
        <v>1586</v>
      </c>
    </row>
    <row r="273" spans="1:28" x14ac:dyDescent="0.25">
      <c r="A273" t="s">
        <v>1587</v>
      </c>
      <c r="B273" t="s">
        <v>1588</v>
      </c>
      <c r="C273" t="s">
        <v>1589</v>
      </c>
      <c r="D273" t="s">
        <v>346</v>
      </c>
      <c r="E273" t="s">
        <v>347</v>
      </c>
      <c r="F273" t="s">
        <v>347</v>
      </c>
      <c r="G273" t="s">
        <v>513</v>
      </c>
      <c r="H273" t="s">
        <v>514</v>
      </c>
      <c r="I273" t="s">
        <v>573</v>
      </c>
      <c r="J273" t="s">
        <v>574</v>
      </c>
      <c r="K273">
        <v>546</v>
      </c>
      <c r="L273">
        <v>9.5</v>
      </c>
      <c r="M273" t="s">
        <v>1003</v>
      </c>
      <c r="N273">
        <v>35.142600000000002</v>
      </c>
      <c r="O273">
        <v>-111.7273</v>
      </c>
      <c r="P273">
        <v>2160</v>
      </c>
      <c r="Q273">
        <v>6</v>
      </c>
      <c r="R273">
        <v>2005</v>
      </c>
      <c r="S273">
        <v>2010</v>
      </c>
      <c r="T273" t="s">
        <v>1329</v>
      </c>
      <c r="U273" t="s">
        <v>1590</v>
      </c>
      <c r="V273">
        <v>2005</v>
      </c>
      <c r="W273">
        <v>2010</v>
      </c>
      <c r="X273" t="s">
        <v>1329</v>
      </c>
      <c r="Y273" t="s">
        <v>1591</v>
      </c>
      <c r="Z273">
        <v>2006</v>
      </c>
      <c r="AA273">
        <v>2010</v>
      </c>
      <c r="AB273" t="s">
        <v>1592</v>
      </c>
    </row>
    <row r="274" spans="1:28" x14ac:dyDescent="0.25">
      <c r="A274" t="s">
        <v>1593</v>
      </c>
      <c r="B274" t="s">
        <v>1594</v>
      </c>
      <c r="C274" t="s">
        <v>1595</v>
      </c>
      <c r="D274" t="s">
        <v>375</v>
      </c>
      <c r="E274" t="s">
        <v>348</v>
      </c>
      <c r="F274" t="s">
        <v>348</v>
      </c>
      <c r="G274" t="s">
        <v>376</v>
      </c>
      <c r="H274" t="s">
        <v>377</v>
      </c>
      <c r="I274" t="s">
        <v>1197</v>
      </c>
      <c r="J274" t="s">
        <v>1198</v>
      </c>
      <c r="M274" t="s">
        <v>1003</v>
      </c>
      <c r="N274">
        <v>70.084999999999994</v>
      </c>
      <c r="O274">
        <v>-148.56710000000001</v>
      </c>
      <c r="P274">
        <v>28</v>
      </c>
      <c r="Q274">
        <v>0</v>
      </c>
    </row>
    <row r="275" spans="1:28" x14ac:dyDescent="0.25">
      <c r="A275" t="s">
        <v>1596</v>
      </c>
      <c r="B275" t="s">
        <v>1597</v>
      </c>
      <c r="C275" t="s">
        <v>1595</v>
      </c>
      <c r="D275" t="s">
        <v>375</v>
      </c>
      <c r="E275" t="s">
        <v>348</v>
      </c>
      <c r="F275" t="s">
        <v>348</v>
      </c>
      <c r="G275" t="s">
        <v>376</v>
      </c>
      <c r="H275" t="s">
        <v>377</v>
      </c>
      <c r="I275" t="s">
        <v>1197</v>
      </c>
      <c r="J275" t="s">
        <v>1198</v>
      </c>
      <c r="M275" t="s">
        <v>1003</v>
      </c>
      <c r="N275">
        <v>70.022900000000007</v>
      </c>
      <c r="O275">
        <v>-148.65979999999999</v>
      </c>
      <c r="P275">
        <v>41</v>
      </c>
      <c r="Q275">
        <v>0</v>
      </c>
    </row>
    <row r="276" spans="1:28" x14ac:dyDescent="0.25">
      <c r="A276" t="s">
        <v>1598</v>
      </c>
      <c r="B276" t="s">
        <v>1599</v>
      </c>
      <c r="C276" t="s">
        <v>1124</v>
      </c>
      <c r="D276" t="s">
        <v>375</v>
      </c>
      <c r="E276" t="s">
        <v>347</v>
      </c>
      <c r="F276" t="s">
        <v>348</v>
      </c>
      <c r="G276" t="s">
        <v>367</v>
      </c>
      <c r="H276" t="s">
        <v>368</v>
      </c>
      <c r="I276" t="s">
        <v>913</v>
      </c>
      <c r="J276" t="s">
        <v>914</v>
      </c>
      <c r="K276">
        <v>334.8</v>
      </c>
      <c r="L276">
        <v>5.48</v>
      </c>
      <c r="M276" t="s">
        <v>1003</v>
      </c>
      <c r="N276">
        <v>48.307699999999997</v>
      </c>
      <c r="O276">
        <v>-105.1019</v>
      </c>
      <c r="P276">
        <v>634</v>
      </c>
      <c r="Q276">
        <v>9</v>
      </c>
      <c r="R276">
        <v>2000</v>
      </c>
      <c r="S276">
        <v>2008</v>
      </c>
      <c r="T276" t="s">
        <v>1600</v>
      </c>
      <c r="U276" t="s">
        <v>1601</v>
      </c>
      <c r="Z276">
        <v>2000</v>
      </c>
      <c r="AB276" t="s">
        <v>720</v>
      </c>
    </row>
    <row r="277" spans="1:28" x14ac:dyDescent="0.25">
      <c r="A277" t="s">
        <v>1602</v>
      </c>
      <c r="B277" t="s">
        <v>1603</v>
      </c>
      <c r="C277" t="s">
        <v>1604</v>
      </c>
      <c r="D277" t="s">
        <v>375</v>
      </c>
      <c r="E277" t="s">
        <v>348</v>
      </c>
      <c r="F277" t="s">
        <v>348</v>
      </c>
      <c r="G277" t="s">
        <v>367</v>
      </c>
      <c r="H277" t="s">
        <v>368</v>
      </c>
      <c r="I277" t="s">
        <v>360</v>
      </c>
      <c r="J277" t="s">
        <v>361</v>
      </c>
      <c r="K277">
        <v>866.65</v>
      </c>
      <c r="L277">
        <v>19.559999999999999</v>
      </c>
      <c r="M277" t="s">
        <v>1003</v>
      </c>
      <c r="N277">
        <v>29.93</v>
      </c>
      <c r="O277">
        <v>-98.01</v>
      </c>
      <c r="P277">
        <v>230</v>
      </c>
      <c r="Q277">
        <v>0</v>
      </c>
      <c r="Z277">
        <v>2004</v>
      </c>
    </row>
    <row r="278" spans="1:28" x14ac:dyDescent="0.25">
      <c r="A278" t="s">
        <v>1605</v>
      </c>
      <c r="B278" t="s">
        <v>1606</v>
      </c>
      <c r="C278" t="s">
        <v>1607</v>
      </c>
      <c r="D278" t="s">
        <v>375</v>
      </c>
      <c r="E278" t="s">
        <v>347</v>
      </c>
      <c r="F278" t="s">
        <v>348</v>
      </c>
      <c r="G278" t="s">
        <v>433</v>
      </c>
      <c r="H278" t="s">
        <v>434</v>
      </c>
      <c r="I278" t="s">
        <v>360</v>
      </c>
      <c r="J278" t="s">
        <v>361</v>
      </c>
      <c r="K278">
        <v>864</v>
      </c>
      <c r="L278">
        <v>19.48</v>
      </c>
      <c r="M278" t="s">
        <v>1003</v>
      </c>
      <c r="N278">
        <v>29.9495</v>
      </c>
      <c r="O278">
        <v>-97.996200000000002</v>
      </c>
      <c r="P278">
        <v>271.89999999999998</v>
      </c>
      <c r="Q278">
        <v>4</v>
      </c>
      <c r="R278">
        <v>2005</v>
      </c>
      <c r="S278">
        <v>2008</v>
      </c>
      <c r="T278" t="s">
        <v>1479</v>
      </c>
      <c r="U278" t="s">
        <v>1608</v>
      </c>
      <c r="Z278">
        <v>2004</v>
      </c>
      <c r="AA278">
        <v>2013</v>
      </c>
      <c r="AB278" t="s">
        <v>720</v>
      </c>
    </row>
    <row r="279" spans="1:28" x14ac:dyDescent="0.25">
      <c r="A279" t="s">
        <v>1609</v>
      </c>
      <c r="B279" t="s">
        <v>1610</v>
      </c>
      <c r="C279" t="s">
        <v>1604</v>
      </c>
      <c r="D279" t="s">
        <v>375</v>
      </c>
      <c r="E279" t="s">
        <v>347</v>
      </c>
      <c r="F279" t="s">
        <v>348</v>
      </c>
      <c r="G279" t="s">
        <v>925</v>
      </c>
      <c r="H279" t="s">
        <v>926</v>
      </c>
      <c r="I279" t="s">
        <v>360</v>
      </c>
      <c r="J279" t="s">
        <v>361</v>
      </c>
      <c r="K279">
        <v>869.23</v>
      </c>
      <c r="L279">
        <v>19.59</v>
      </c>
      <c r="M279" t="s">
        <v>1003</v>
      </c>
      <c r="N279">
        <v>29.94</v>
      </c>
      <c r="O279">
        <v>-97.99</v>
      </c>
      <c r="P279">
        <v>232</v>
      </c>
      <c r="Q279">
        <v>9</v>
      </c>
      <c r="R279">
        <v>2004</v>
      </c>
      <c r="S279">
        <v>2012</v>
      </c>
      <c r="T279" t="s">
        <v>1611</v>
      </c>
      <c r="U279" t="s">
        <v>1612</v>
      </c>
      <c r="Z279">
        <v>2004</v>
      </c>
      <c r="AB279" t="s">
        <v>720</v>
      </c>
    </row>
    <row r="280" spans="1:28" x14ac:dyDescent="0.25">
      <c r="A280" t="s">
        <v>1613</v>
      </c>
      <c r="B280" t="s">
        <v>1614</v>
      </c>
      <c r="C280" t="s">
        <v>1589</v>
      </c>
      <c r="D280" t="s">
        <v>346</v>
      </c>
      <c r="E280" t="s">
        <v>347</v>
      </c>
      <c r="F280" t="s">
        <v>347</v>
      </c>
      <c r="G280" t="s">
        <v>513</v>
      </c>
      <c r="H280" t="s">
        <v>514</v>
      </c>
      <c r="I280" t="s">
        <v>573</v>
      </c>
      <c r="J280" t="s">
        <v>574</v>
      </c>
      <c r="K280">
        <v>562</v>
      </c>
      <c r="L280">
        <v>8.6999999999999993</v>
      </c>
      <c r="M280" t="s">
        <v>1003</v>
      </c>
      <c r="N280">
        <v>35.088999999999999</v>
      </c>
      <c r="O280">
        <v>-111.762</v>
      </c>
      <c r="P280">
        <v>2180</v>
      </c>
      <c r="Q280">
        <v>6</v>
      </c>
      <c r="R280">
        <v>2005</v>
      </c>
      <c r="S280">
        <v>2010</v>
      </c>
      <c r="T280" t="s">
        <v>1329</v>
      </c>
      <c r="U280" t="s">
        <v>1615</v>
      </c>
      <c r="V280">
        <v>2005</v>
      </c>
      <c r="W280">
        <v>2010</v>
      </c>
      <c r="X280" t="s">
        <v>1329</v>
      </c>
      <c r="Y280" t="s">
        <v>1616</v>
      </c>
      <c r="Z280">
        <v>2006</v>
      </c>
      <c r="AA280">
        <v>2010</v>
      </c>
      <c r="AB280" t="s">
        <v>1592</v>
      </c>
    </row>
    <row r="281" spans="1:28" x14ac:dyDescent="0.25">
      <c r="A281" t="s">
        <v>1617</v>
      </c>
      <c r="B281" t="s">
        <v>1618</v>
      </c>
      <c r="C281" t="s">
        <v>1589</v>
      </c>
      <c r="D281" t="s">
        <v>346</v>
      </c>
      <c r="E281" t="s">
        <v>347</v>
      </c>
      <c r="F281" t="s">
        <v>347</v>
      </c>
      <c r="G281" t="s">
        <v>367</v>
      </c>
      <c r="H281" t="s">
        <v>368</v>
      </c>
      <c r="I281" t="s">
        <v>573</v>
      </c>
      <c r="J281" t="s">
        <v>574</v>
      </c>
      <c r="K281">
        <v>557</v>
      </c>
      <c r="L281">
        <v>8.4</v>
      </c>
      <c r="M281" t="s">
        <v>1003</v>
      </c>
      <c r="N281">
        <v>35.445399999999999</v>
      </c>
      <c r="O281">
        <v>-111.7718</v>
      </c>
      <c r="P281">
        <v>2270</v>
      </c>
      <c r="Q281">
        <v>6</v>
      </c>
      <c r="R281">
        <v>2005</v>
      </c>
      <c r="S281">
        <v>2010</v>
      </c>
      <c r="T281" t="s">
        <v>1329</v>
      </c>
      <c r="U281" t="s">
        <v>1619</v>
      </c>
      <c r="V281">
        <v>2005</v>
      </c>
      <c r="W281">
        <v>2010</v>
      </c>
      <c r="X281" t="s">
        <v>1329</v>
      </c>
      <c r="Y281" t="s">
        <v>1620</v>
      </c>
      <c r="Z281">
        <v>2006</v>
      </c>
      <c r="AA281">
        <v>2010</v>
      </c>
      <c r="AB281" t="s">
        <v>1592</v>
      </c>
    </row>
    <row r="282" spans="1:28" x14ac:dyDescent="0.25">
      <c r="A282" t="s">
        <v>1621</v>
      </c>
      <c r="B282" t="s">
        <v>1622</v>
      </c>
      <c r="C282" t="s">
        <v>1623</v>
      </c>
      <c r="D282" t="s">
        <v>346</v>
      </c>
      <c r="E282" t="s">
        <v>347</v>
      </c>
      <c r="F282" t="s">
        <v>348</v>
      </c>
      <c r="G282" t="s">
        <v>513</v>
      </c>
      <c r="H282" t="s">
        <v>514</v>
      </c>
      <c r="I282" t="s">
        <v>539</v>
      </c>
      <c r="J282" t="s">
        <v>540</v>
      </c>
      <c r="K282">
        <v>1200</v>
      </c>
      <c r="L282">
        <v>0.8</v>
      </c>
      <c r="M282" t="s">
        <v>1003</v>
      </c>
      <c r="N282">
        <v>41.3658</v>
      </c>
      <c r="O282">
        <v>-106.2397</v>
      </c>
      <c r="P282">
        <v>3191</v>
      </c>
      <c r="Q282">
        <v>8</v>
      </c>
      <c r="R282">
        <v>1999</v>
      </c>
      <c r="S282">
        <v>2006</v>
      </c>
      <c r="T282" t="s">
        <v>1120</v>
      </c>
      <c r="U282" t="s">
        <v>1624</v>
      </c>
      <c r="Z282">
        <v>1991</v>
      </c>
      <c r="AA282">
        <v>2006</v>
      </c>
      <c r="AB282" t="s">
        <v>720</v>
      </c>
    </row>
    <row r="283" spans="1:28" x14ac:dyDescent="0.25">
      <c r="A283" t="s">
        <v>1625</v>
      </c>
      <c r="B283" t="s">
        <v>1626</v>
      </c>
      <c r="C283" t="s">
        <v>1627</v>
      </c>
      <c r="D283" t="s">
        <v>375</v>
      </c>
      <c r="E283" t="s">
        <v>348</v>
      </c>
      <c r="F283" t="s">
        <v>348</v>
      </c>
      <c r="G283" t="s">
        <v>376</v>
      </c>
      <c r="H283" t="s">
        <v>377</v>
      </c>
      <c r="I283" t="s">
        <v>360</v>
      </c>
      <c r="J283" t="s">
        <v>361</v>
      </c>
      <c r="K283">
        <v>1284</v>
      </c>
      <c r="L283">
        <v>19.829999999999998</v>
      </c>
      <c r="M283" t="s">
        <v>1003</v>
      </c>
      <c r="N283">
        <v>31.444099999999999</v>
      </c>
      <c r="O283">
        <v>-81.283500000000004</v>
      </c>
      <c r="P283">
        <v>0.625</v>
      </c>
      <c r="Q283">
        <v>0</v>
      </c>
      <c r="Z283">
        <v>2013</v>
      </c>
    </row>
    <row r="284" spans="1:28" x14ac:dyDescent="0.25">
      <c r="A284" t="s">
        <v>1628</v>
      </c>
      <c r="B284" t="s">
        <v>1629</v>
      </c>
      <c r="C284" t="s">
        <v>1630</v>
      </c>
      <c r="D284" t="s">
        <v>346</v>
      </c>
      <c r="E284" t="s">
        <v>347</v>
      </c>
      <c r="F284" t="s">
        <v>348</v>
      </c>
      <c r="G284" t="s">
        <v>918</v>
      </c>
      <c r="H284" t="s">
        <v>919</v>
      </c>
      <c r="I284" t="s">
        <v>481</v>
      </c>
      <c r="J284" t="s">
        <v>482</v>
      </c>
      <c r="L284">
        <v>5.4</v>
      </c>
      <c r="M284" t="s">
        <v>1003</v>
      </c>
      <c r="N284">
        <v>47.183500000000002</v>
      </c>
      <c r="O284">
        <v>-87.225099999999998</v>
      </c>
      <c r="P284">
        <v>183</v>
      </c>
      <c r="Q284">
        <v>15</v>
      </c>
      <c r="R284">
        <v>2008</v>
      </c>
      <c r="S284">
        <v>2022</v>
      </c>
      <c r="T284" t="s">
        <v>1631</v>
      </c>
      <c r="U284" t="s">
        <v>1632</v>
      </c>
      <c r="Z284">
        <v>2008</v>
      </c>
      <c r="AB284" t="s">
        <v>1633</v>
      </c>
    </row>
    <row r="285" spans="1:28" x14ac:dyDescent="0.25">
      <c r="A285" t="s">
        <v>1634</v>
      </c>
      <c r="B285" t="s">
        <v>1635</v>
      </c>
      <c r="C285" t="s">
        <v>1636</v>
      </c>
      <c r="D285" t="s">
        <v>346</v>
      </c>
      <c r="E285" t="s">
        <v>348</v>
      </c>
      <c r="F285" t="s">
        <v>348</v>
      </c>
      <c r="G285" t="s">
        <v>918</v>
      </c>
      <c r="H285" t="s">
        <v>919</v>
      </c>
      <c r="I285" t="s">
        <v>481</v>
      </c>
      <c r="J285" t="s">
        <v>482</v>
      </c>
      <c r="K285">
        <v>762</v>
      </c>
      <c r="L285">
        <v>6.6</v>
      </c>
      <c r="M285" t="s">
        <v>1003</v>
      </c>
      <c r="N285">
        <v>46.716700000000003</v>
      </c>
      <c r="O285">
        <v>-87.4</v>
      </c>
      <c r="P285">
        <v>183</v>
      </c>
      <c r="Q285">
        <v>0</v>
      </c>
      <c r="Z285">
        <v>2010</v>
      </c>
    </row>
    <row r="286" spans="1:28" x14ac:dyDescent="0.25">
      <c r="A286" t="s">
        <v>32</v>
      </c>
      <c r="B286" t="s">
        <v>1637</v>
      </c>
      <c r="C286" t="s">
        <v>1638</v>
      </c>
      <c r="D286" t="s">
        <v>346</v>
      </c>
      <c r="E286" t="s">
        <v>347</v>
      </c>
      <c r="F286" t="s">
        <v>347</v>
      </c>
      <c r="G286" t="s">
        <v>513</v>
      </c>
      <c r="H286" t="s">
        <v>514</v>
      </c>
      <c r="I286" t="s">
        <v>539</v>
      </c>
      <c r="J286" t="s">
        <v>540</v>
      </c>
      <c r="K286">
        <v>1200</v>
      </c>
      <c r="L286">
        <v>0.8</v>
      </c>
      <c r="M286" t="s">
        <v>1003</v>
      </c>
      <c r="N286">
        <v>41.366500000000002</v>
      </c>
      <c r="O286">
        <v>-106.23990000000001</v>
      </c>
      <c r="P286">
        <v>3197</v>
      </c>
      <c r="Q286">
        <v>22</v>
      </c>
      <c r="R286">
        <v>1999</v>
      </c>
      <c r="S286">
        <v>2020</v>
      </c>
      <c r="T286" t="s">
        <v>1639</v>
      </c>
      <c r="U286" t="s">
        <v>1640</v>
      </c>
      <c r="V286">
        <v>2005</v>
      </c>
      <c r="W286">
        <v>2020</v>
      </c>
      <c r="X286" t="s">
        <v>1641</v>
      </c>
      <c r="Y286" t="s">
        <v>1642</v>
      </c>
      <c r="Z286">
        <v>2002</v>
      </c>
      <c r="AB286" t="s">
        <v>1643</v>
      </c>
    </row>
    <row r="287" spans="1:28" x14ac:dyDescent="0.25">
      <c r="A287" t="s">
        <v>1644</v>
      </c>
      <c r="B287" t="s">
        <v>1645</v>
      </c>
      <c r="C287" t="s">
        <v>1646</v>
      </c>
      <c r="D287" t="s">
        <v>375</v>
      </c>
      <c r="E287" t="s">
        <v>347</v>
      </c>
      <c r="F287" t="s">
        <v>348</v>
      </c>
      <c r="G287" t="s">
        <v>479</v>
      </c>
      <c r="H287" t="s">
        <v>480</v>
      </c>
      <c r="I287" t="s">
        <v>481</v>
      </c>
      <c r="J287" t="s">
        <v>482</v>
      </c>
      <c r="K287">
        <v>1258.79</v>
      </c>
      <c r="L287">
        <v>6.08</v>
      </c>
      <c r="M287" t="s">
        <v>1003</v>
      </c>
      <c r="N287">
        <v>41.966700000000003</v>
      </c>
      <c r="O287">
        <v>-73.2333</v>
      </c>
      <c r="P287">
        <v>380</v>
      </c>
      <c r="Q287">
        <v>6</v>
      </c>
      <c r="R287">
        <v>1999</v>
      </c>
      <c r="S287">
        <v>2004</v>
      </c>
      <c r="T287" t="s">
        <v>1647</v>
      </c>
      <c r="U287" t="s">
        <v>1648</v>
      </c>
      <c r="Z287">
        <v>1999</v>
      </c>
      <c r="AA287">
        <v>2004</v>
      </c>
      <c r="AB287" t="s">
        <v>720</v>
      </c>
    </row>
    <row r="288" spans="1:28" x14ac:dyDescent="0.25">
      <c r="A288" t="s">
        <v>1649</v>
      </c>
      <c r="B288" t="s">
        <v>1650</v>
      </c>
      <c r="C288" t="s">
        <v>1124</v>
      </c>
      <c r="D288" t="s">
        <v>375</v>
      </c>
      <c r="E288" t="s">
        <v>347</v>
      </c>
      <c r="F288" t="s">
        <v>348</v>
      </c>
      <c r="G288" t="s">
        <v>367</v>
      </c>
      <c r="H288" t="s">
        <v>368</v>
      </c>
      <c r="I288" t="s">
        <v>360</v>
      </c>
      <c r="J288" t="s">
        <v>361</v>
      </c>
      <c r="K288">
        <v>1425.77</v>
      </c>
      <c r="L288">
        <v>15.89</v>
      </c>
      <c r="M288" t="s">
        <v>1003</v>
      </c>
      <c r="N288">
        <v>34.2547</v>
      </c>
      <c r="O288">
        <v>-89.873500000000007</v>
      </c>
      <c r="P288">
        <v>87</v>
      </c>
      <c r="Q288">
        <v>5</v>
      </c>
      <c r="R288">
        <v>2002</v>
      </c>
      <c r="S288">
        <v>2006</v>
      </c>
      <c r="T288" t="s">
        <v>1651</v>
      </c>
      <c r="U288" t="s">
        <v>1652</v>
      </c>
      <c r="Z288">
        <v>2002</v>
      </c>
      <c r="AA288">
        <v>2006</v>
      </c>
      <c r="AB288" t="s">
        <v>1653</v>
      </c>
    </row>
    <row r="289" spans="1:28" x14ac:dyDescent="0.25">
      <c r="A289" t="s">
        <v>1654</v>
      </c>
      <c r="B289" t="s">
        <v>1655</v>
      </c>
      <c r="C289" t="s">
        <v>1368</v>
      </c>
      <c r="D289" t="s">
        <v>346</v>
      </c>
      <c r="E289" t="s">
        <v>348</v>
      </c>
      <c r="F289" t="s">
        <v>348</v>
      </c>
      <c r="G289" t="s">
        <v>349</v>
      </c>
      <c r="H289" t="s">
        <v>350</v>
      </c>
      <c r="I289" t="s">
        <v>360</v>
      </c>
      <c r="J289" t="s">
        <v>361</v>
      </c>
      <c r="K289">
        <v>1100</v>
      </c>
      <c r="L289">
        <v>16.2</v>
      </c>
      <c r="M289" t="s">
        <v>1003</v>
      </c>
      <c r="N289">
        <v>35.664700000000003</v>
      </c>
      <c r="O289">
        <v>-90.715299999999999</v>
      </c>
      <c r="P289">
        <v>75</v>
      </c>
      <c r="Q289">
        <v>0</v>
      </c>
      <c r="Z289">
        <v>2023</v>
      </c>
    </row>
    <row r="290" spans="1:28" x14ac:dyDescent="0.25">
      <c r="A290" t="s">
        <v>1656</v>
      </c>
      <c r="B290" t="s">
        <v>1657</v>
      </c>
      <c r="C290" t="s">
        <v>1368</v>
      </c>
      <c r="D290" t="s">
        <v>346</v>
      </c>
      <c r="E290" t="s">
        <v>348</v>
      </c>
      <c r="F290" t="s">
        <v>348</v>
      </c>
      <c r="G290" t="s">
        <v>349</v>
      </c>
      <c r="H290" t="s">
        <v>350</v>
      </c>
      <c r="I290" t="s">
        <v>360</v>
      </c>
      <c r="J290" t="s">
        <v>361</v>
      </c>
      <c r="K290">
        <v>1100</v>
      </c>
      <c r="L290">
        <v>16.2</v>
      </c>
      <c r="M290" t="s">
        <v>1003</v>
      </c>
      <c r="N290">
        <v>35.6648</v>
      </c>
      <c r="O290">
        <v>-90.719800000000006</v>
      </c>
      <c r="P290">
        <v>75</v>
      </c>
      <c r="Q290">
        <v>0</v>
      </c>
      <c r="Z290">
        <v>2023</v>
      </c>
    </row>
    <row r="291" spans="1:28" x14ac:dyDescent="0.25">
      <c r="A291" t="s">
        <v>1658</v>
      </c>
      <c r="B291" t="s">
        <v>1659</v>
      </c>
      <c r="C291" t="s">
        <v>1660</v>
      </c>
      <c r="D291" t="s">
        <v>375</v>
      </c>
      <c r="E291" t="s">
        <v>348</v>
      </c>
      <c r="F291" t="s">
        <v>348</v>
      </c>
      <c r="G291" t="s">
        <v>349</v>
      </c>
      <c r="H291" t="s">
        <v>350</v>
      </c>
      <c r="I291" t="s">
        <v>573</v>
      </c>
      <c r="J291" t="s">
        <v>574</v>
      </c>
      <c r="K291">
        <v>294.10000000000002</v>
      </c>
      <c r="L291">
        <v>11.4</v>
      </c>
      <c r="M291" t="s">
        <v>1003</v>
      </c>
      <c r="N291">
        <v>46.500799999999998</v>
      </c>
      <c r="O291">
        <v>-116.8068</v>
      </c>
      <c r="P291">
        <v>746</v>
      </c>
      <c r="Q291">
        <v>0</v>
      </c>
      <c r="Z291">
        <v>2018</v>
      </c>
    </row>
    <row r="292" spans="1:28" x14ac:dyDescent="0.25">
      <c r="A292" t="s">
        <v>1661</v>
      </c>
      <c r="B292" t="s">
        <v>1662</v>
      </c>
      <c r="C292" t="s">
        <v>1660</v>
      </c>
      <c r="D292" t="s">
        <v>375</v>
      </c>
      <c r="E292" t="s">
        <v>348</v>
      </c>
      <c r="F292" t="s">
        <v>348</v>
      </c>
      <c r="G292" t="s">
        <v>349</v>
      </c>
      <c r="H292" t="s">
        <v>350</v>
      </c>
      <c r="I292" t="s">
        <v>573</v>
      </c>
      <c r="J292" t="s">
        <v>574</v>
      </c>
      <c r="K292">
        <v>294.10000000000002</v>
      </c>
      <c r="L292">
        <v>11.4</v>
      </c>
      <c r="M292" t="s">
        <v>1003</v>
      </c>
      <c r="N292">
        <v>46.497799999999998</v>
      </c>
      <c r="O292">
        <v>-116.8047</v>
      </c>
      <c r="P292">
        <v>731</v>
      </c>
      <c r="Q292">
        <v>0</v>
      </c>
      <c r="Z292">
        <v>2018</v>
      </c>
    </row>
    <row r="293" spans="1:28" x14ac:dyDescent="0.25">
      <c r="A293" t="s">
        <v>1663</v>
      </c>
      <c r="B293" t="s">
        <v>1664</v>
      </c>
      <c r="C293" t="s">
        <v>1660</v>
      </c>
      <c r="D293" t="s">
        <v>375</v>
      </c>
      <c r="E293" t="s">
        <v>348</v>
      </c>
      <c r="F293" t="s">
        <v>348</v>
      </c>
      <c r="G293" t="s">
        <v>349</v>
      </c>
      <c r="H293" t="s">
        <v>350</v>
      </c>
      <c r="I293" t="s">
        <v>573</v>
      </c>
      <c r="J293" t="s">
        <v>574</v>
      </c>
      <c r="K293">
        <v>294.10000000000002</v>
      </c>
      <c r="L293">
        <v>11.4</v>
      </c>
      <c r="M293" t="s">
        <v>1003</v>
      </c>
      <c r="N293">
        <v>46.494900000000001</v>
      </c>
      <c r="O293">
        <v>-116.8019</v>
      </c>
      <c r="P293">
        <v>713</v>
      </c>
      <c r="Q293">
        <v>0</v>
      </c>
      <c r="Z293">
        <v>2018</v>
      </c>
    </row>
    <row r="294" spans="1:28" x14ac:dyDescent="0.25">
      <c r="A294" t="s">
        <v>33</v>
      </c>
      <c r="B294" t="s">
        <v>1665</v>
      </c>
      <c r="C294" t="s">
        <v>1666</v>
      </c>
      <c r="D294" t="s">
        <v>346</v>
      </c>
      <c r="E294" t="s">
        <v>347</v>
      </c>
      <c r="F294" t="s">
        <v>347</v>
      </c>
      <c r="G294" t="s">
        <v>428</v>
      </c>
      <c r="H294" t="s">
        <v>429</v>
      </c>
      <c r="I294" t="s">
        <v>481</v>
      </c>
      <c r="J294" t="s">
        <v>482</v>
      </c>
      <c r="K294">
        <v>1071</v>
      </c>
      <c r="L294">
        <v>6.62</v>
      </c>
      <c r="M294" t="s">
        <v>1003</v>
      </c>
      <c r="N294">
        <v>42.537799999999997</v>
      </c>
      <c r="O294">
        <v>-72.171499999999995</v>
      </c>
      <c r="P294">
        <v>340</v>
      </c>
      <c r="Q294">
        <v>34</v>
      </c>
      <c r="R294">
        <v>1991</v>
      </c>
      <c r="S294">
        <v>2024</v>
      </c>
      <c r="T294" t="s">
        <v>1667</v>
      </c>
      <c r="U294" t="s">
        <v>1668</v>
      </c>
      <c r="V294">
        <v>1991</v>
      </c>
      <c r="W294">
        <v>2020</v>
      </c>
      <c r="X294" t="s">
        <v>1669</v>
      </c>
      <c r="Y294" t="s">
        <v>1670</v>
      </c>
      <c r="Z294">
        <v>1991</v>
      </c>
      <c r="AB294" t="s">
        <v>1671</v>
      </c>
    </row>
    <row r="295" spans="1:28" x14ac:dyDescent="0.25">
      <c r="A295" t="s">
        <v>1672</v>
      </c>
      <c r="B295" t="s">
        <v>1673</v>
      </c>
      <c r="C295" t="s">
        <v>1674</v>
      </c>
      <c r="D295" t="s">
        <v>346</v>
      </c>
      <c r="E295" t="s">
        <v>347</v>
      </c>
      <c r="F295" t="s">
        <v>348</v>
      </c>
      <c r="G295" t="s">
        <v>513</v>
      </c>
      <c r="H295" t="s">
        <v>514</v>
      </c>
      <c r="I295" t="s">
        <v>481</v>
      </c>
      <c r="J295" t="s">
        <v>482</v>
      </c>
      <c r="K295">
        <v>1071</v>
      </c>
      <c r="L295">
        <v>6.56</v>
      </c>
      <c r="M295" t="s">
        <v>1003</v>
      </c>
      <c r="N295">
        <v>42.539299999999997</v>
      </c>
      <c r="O295">
        <v>-72.177899999999994</v>
      </c>
      <c r="P295">
        <v>360</v>
      </c>
      <c r="Q295">
        <v>21</v>
      </c>
      <c r="R295">
        <v>2004</v>
      </c>
      <c r="S295">
        <v>2024</v>
      </c>
      <c r="T295" t="s">
        <v>1128</v>
      </c>
      <c r="U295" t="s">
        <v>1675</v>
      </c>
      <c r="Z295">
        <v>2004</v>
      </c>
      <c r="AB295" t="s">
        <v>1676</v>
      </c>
    </row>
    <row r="296" spans="1:28" x14ac:dyDescent="0.25">
      <c r="A296" t="s">
        <v>34</v>
      </c>
      <c r="B296" t="s">
        <v>1677</v>
      </c>
      <c r="C296" t="s">
        <v>1678</v>
      </c>
      <c r="D296" t="s">
        <v>346</v>
      </c>
      <c r="E296" t="s">
        <v>347</v>
      </c>
      <c r="F296" t="s">
        <v>347</v>
      </c>
      <c r="G296" t="s">
        <v>376</v>
      </c>
      <c r="H296" t="s">
        <v>377</v>
      </c>
      <c r="I296" t="s">
        <v>360</v>
      </c>
      <c r="J296" t="s">
        <v>361</v>
      </c>
      <c r="K296">
        <v>1429</v>
      </c>
      <c r="L296">
        <v>18.3</v>
      </c>
      <c r="M296" t="s">
        <v>1003</v>
      </c>
      <c r="N296">
        <v>33.345500000000001</v>
      </c>
      <c r="O296">
        <v>-79.195700000000002</v>
      </c>
      <c r="P296">
        <v>0.1</v>
      </c>
      <c r="Q296">
        <v>4</v>
      </c>
      <c r="R296">
        <v>2019</v>
      </c>
      <c r="S296">
        <v>2022</v>
      </c>
      <c r="T296" t="s">
        <v>1321</v>
      </c>
      <c r="U296" t="s">
        <v>1679</v>
      </c>
      <c r="V296">
        <v>2019</v>
      </c>
      <c r="W296">
        <v>2022</v>
      </c>
      <c r="X296" t="s">
        <v>1321</v>
      </c>
      <c r="Y296" t="s">
        <v>1680</v>
      </c>
      <c r="Z296">
        <v>2017</v>
      </c>
      <c r="AB296" t="s">
        <v>1681</v>
      </c>
    </row>
    <row r="297" spans="1:28" x14ac:dyDescent="0.25">
      <c r="A297" t="s">
        <v>35</v>
      </c>
      <c r="B297" t="s">
        <v>1682</v>
      </c>
      <c r="C297" t="s">
        <v>1678</v>
      </c>
      <c r="D297" t="s">
        <v>346</v>
      </c>
      <c r="E297" t="s">
        <v>347</v>
      </c>
      <c r="F297" t="s">
        <v>347</v>
      </c>
      <c r="G297" t="s">
        <v>513</v>
      </c>
      <c r="H297" t="s">
        <v>514</v>
      </c>
      <c r="I297" t="s">
        <v>360</v>
      </c>
      <c r="J297" t="s">
        <v>361</v>
      </c>
      <c r="K297">
        <v>1429</v>
      </c>
      <c r="L297">
        <v>18.3</v>
      </c>
      <c r="M297" t="s">
        <v>1003</v>
      </c>
      <c r="N297">
        <v>33.324199999999998</v>
      </c>
      <c r="O297">
        <v>-79.244</v>
      </c>
      <c r="P297">
        <v>4.7</v>
      </c>
      <c r="Q297">
        <v>1</v>
      </c>
      <c r="R297">
        <v>2019</v>
      </c>
      <c r="S297">
        <v>2019</v>
      </c>
      <c r="T297">
        <v>2019</v>
      </c>
      <c r="U297" t="s">
        <v>1683</v>
      </c>
      <c r="V297">
        <v>2019</v>
      </c>
      <c r="W297">
        <v>2019</v>
      </c>
      <c r="X297">
        <v>2019</v>
      </c>
      <c r="Y297" t="s">
        <v>1684</v>
      </c>
      <c r="Z297">
        <v>2018</v>
      </c>
      <c r="AB297" t="s">
        <v>1685</v>
      </c>
    </row>
    <row r="298" spans="1:28" x14ac:dyDescent="0.25">
      <c r="A298" t="s">
        <v>36</v>
      </c>
      <c r="B298" t="s">
        <v>1686</v>
      </c>
      <c r="C298" t="s">
        <v>1678</v>
      </c>
      <c r="D298" t="s">
        <v>346</v>
      </c>
      <c r="E298" t="s">
        <v>347</v>
      </c>
      <c r="F298" t="s">
        <v>347</v>
      </c>
      <c r="G298" t="s">
        <v>513</v>
      </c>
      <c r="H298" t="s">
        <v>514</v>
      </c>
      <c r="I298" t="s">
        <v>360</v>
      </c>
      <c r="J298" t="s">
        <v>361</v>
      </c>
      <c r="K298">
        <v>1429</v>
      </c>
      <c r="L298">
        <v>18.3</v>
      </c>
      <c r="M298" t="s">
        <v>1003</v>
      </c>
      <c r="N298">
        <v>33.348199999999999</v>
      </c>
      <c r="O298">
        <v>-79.232200000000006</v>
      </c>
      <c r="P298">
        <v>7.3</v>
      </c>
      <c r="Q298">
        <v>4</v>
      </c>
      <c r="R298">
        <v>2019</v>
      </c>
      <c r="S298">
        <v>2022</v>
      </c>
      <c r="T298" t="s">
        <v>1321</v>
      </c>
      <c r="U298" t="s">
        <v>1687</v>
      </c>
      <c r="V298">
        <v>2019</v>
      </c>
      <c r="W298">
        <v>2022</v>
      </c>
      <c r="X298" t="s">
        <v>1321</v>
      </c>
      <c r="Y298" t="s">
        <v>1688</v>
      </c>
      <c r="Z298">
        <v>2019</v>
      </c>
      <c r="AB298" t="s">
        <v>1689</v>
      </c>
    </row>
    <row r="299" spans="1:28" x14ac:dyDescent="0.25">
      <c r="A299" t="s">
        <v>1690</v>
      </c>
      <c r="B299" t="s">
        <v>1691</v>
      </c>
      <c r="C299" t="s">
        <v>1678</v>
      </c>
      <c r="D299" t="s">
        <v>346</v>
      </c>
      <c r="E299" t="s">
        <v>347</v>
      </c>
      <c r="F299" t="s">
        <v>348</v>
      </c>
      <c r="G299" t="s">
        <v>376</v>
      </c>
      <c r="H299" t="s">
        <v>377</v>
      </c>
      <c r="I299" t="s">
        <v>360</v>
      </c>
      <c r="J299" t="s">
        <v>361</v>
      </c>
      <c r="K299">
        <v>1429</v>
      </c>
      <c r="L299">
        <v>18.3</v>
      </c>
      <c r="M299" t="s">
        <v>1003</v>
      </c>
      <c r="N299">
        <v>33.201500000000003</v>
      </c>
      <c r="O299">
        <v>-79.297499999999999</v>
      </c>
      <c r="P299">
        <v>1</v>
      </c>
      <c r="Q299">
        <v>1</v>
      </c>
      <c r="R299">
        <v>2022</v>
      </c>
      <c r="S299">
        <v>2022</v>
      </c>
      <c r="T299">
        <v>2022</v>
      </c>
      <c r="U299" t="s">
        <v>1692</v>
      </c>
      <c r="Z299">
        <v>2020</v>
      </c>
      <c r="AB299" t="s">
        <v>1693</v>
      </c>
    </row>
    <row r="300" spans="1:28" x14ac:dyDescent="0.25">
      <c r="A300" t="s">
        <v>1694</v>
      </c>
      <c r="B300" t="s">
        <v>1695</v>
      </c>
      <c r="C300" t="s">
        <v>1696</v>
      </c>
      <c r="D300" t="s">
        <v>346</v>
      </c>
      <c r="E300" t="s">
        <v>347</v>
      </c>
      <c r="F300" t="s">
        <v>348</v>
      </c>
      <c r="G300" t="s">
        <v>428</v>
      </c>
      <c r="H300" t="s">
        <v>429</v>
      </c>
      <c r="I300" t="s">
        <v>481</v>
      </c>
      <c r="J300" t="s">
        <v>482</v>
      </c>
      <c r="K300">
        <v>1400</v>
      </c>
      <c r="L300">
        <v>6</v>
      </c>
      <c r="M300" t="s">
        <v>1003</v>
      </c>
      <c r="N300">
        <v>43.939700000000002</v>
      </c>
      <c r="O300">
        <v>-71.718100000000007</v>
      </c>
      <c r="P300">
        <v>367</v>
      </c>
      <c r="Q300">
        <v>7</v>
      </c>
      <c r="R300">
        <v>2016</v>
      </c>
      <c r="S300">
        <v>2022</v>
      </c>
      <c r="T300" t="s">
        <v>1697</v>
      </c>
      <c r="U300" t="s">
        <v>1698</v>
      </c>
      <c r="Z300">
        <v>2016</v>
      </c>
      <c r="AB300" t="s">
        <v>1699</v>
      </c>
    </row>
    <row r="301" spans="1:28" x14ac:dyDescent="0.25">
      <c r="A301" t="s">
        <v>1700</v>
      </c>
      <c r="B301" t="s">
        <v>1701</v>
      </c>
      <c r="C301" t="s">
        <v>1702</v>
      </c>
      <c r="D301" t="s">
        <v>346</v>
      </c>
      <c r="E301" t="s">
        <v>348</v>
      </c>
      <c r="F301" t="s">
        <v>348</v>
      </c>
      <c r="G301" t="s">
        <v>581</v>
      </c>
      <c r="H301" t="s">
        <v>582</v>
      </c>
      <c r="I301" t="s">
        <v>913</v>
      </c>
      <c r="J301" t="s">
        <v>914</v>
      </c>
      <c r="K301">
        <v>197</v>
      </c>
      <c r="L301">
        <v>12.8</v>
      </c>
      <c r="M301" t="s">
        <v>1003</v>
      </c>
      <c r="N301">
        <v>46.408900000000003</v>
      </c>
      <c r="O301">
        <v>-119.27500000000001</v>
      </c>
      <c r="P301">
        <v>118.58</v>
      </c>
      <c r="Q301">
        <v>0</v>
      </c>
      <c r="Z301">
        <v>2015</v>
      </c>
    </row>
    <row r="302" spans="1:28" x14ac:dyDescent="0.25">
      <c r="A302" t="s">
        <v>37</v>
      </c>
      <c r="B302" t="s">
        <v>1703</v>
      </c>
      <c r="C302" t="s">
        <v>1702</v>
      </c>
      <c r="D302" t="s">
        <v>346</v>
      </c>
      <c r="E302" t="s">
        <v>347</v>
      </c>
      <c r="F302" t="s">
        <v>347</v>
      </c>
      <c r="G302" t="s">
        <v>367</v>
      </c>
      <c r="H302" t="s">
        <v>368</v>
      </c>
      <c r="I302" t="s">
        <v>913</v>
      </c>
      <c r="J302" t="s">
        <v>914</v>
      </c>
      <c r="K302">
        <v>197</v>
      </c>
      <c r="L302">
        <v>12.8</v>
      </c>
      <c r="M302" t="s">
        <v>1003</v>
      </c>
      <c r="N302">
        <v>46.688899999999997</v>
      </c>
      <c r="O302">
        <v>-119.4641</v>
      </c>
      <c r="P302">
        <v>117.5</v>
      </c>
      <c r="Q302">
        <v>4</v>
      </c>
      <c r="R302">
        <v>2015</v>
      </c>
      <c r="S302">
        <v>2018</v>
      </c>
      <c r="T302" t="s">
        <v>886</v>
      </c>
      <c r="U302" t="s">
        <v>1704</v>
      </c>
      <c r="V302">
        <v>2015</v>
      </c>
      <c r="W302">
        <v>2018</v>
      </c>
      <c r="X302" t="s">
        <v>886</v>
      </c>
      <c r="Y302" t="s">
        <v>1705</v>
      </c>
      <c r="Z302">
        <v>2015</v>
      </c>
      <c r="AB302" t="s">
        <v>1706</v>
      </c>
    </row>
    <row r="303" spans="1:28" x14ac:dyDescent="0.25">
      <c r="A303" t="s">
        <v>38</v>
      </c>
      <c r="B303" t="s">
        <v>1707</v>
      </c>
      <c r="C303" t="s">
        <v>1702</v>
      </c>
      <c r="D303" t="s">
        <v>346</v>
      </c>
      <c r="E303" t="s">
        <v>347</v>
      </c>
      <c r="F303" t="s">
        <v>347</v>
      </c>
      <c r="G303" t="s">
        <v>581</v>
      </c>
      <c r="H303" t="s">
        <v>582</v>
      </c>
      <c r="I303" t="s">
        <v>913</v>
      </c>
      <c r="J303" t="s">
        <v>914</v>
      </c>
      <c r="K303">
        <v>197</v>
      </c>
      <c r="L303">
        <v>12.8</v>
      </c>
      <c r="M303" t="s">
        <v>1003</v>
      </c>
      <c r="N303">
        <v>46.687800000000003</v>
      </c>
      <c r="O303">
        <v>-119.4614</v>
      </c>
      <c r="P303">
        <v>120.9</v>
      </c>
      <c r="Q303">
        <v>2</v>
      </c>
      <c r="R303">
        <v>2017</v>
      </c>
      <c r="S303">
        <v>2018</v>
      </c>
      <c r="T303" t="s">
        <v>951</v>
      </c>
      <c r="U303" t="s">
        <v>1708</v>
      </c>
      <c r="V303">
        <v>2017</v>
      </c>
      <c r="W303">
        <v>2018</v>
      </c>
      <c r="X303" t="s">
        <v>951</v>
      </c>
      <c r="Y303" t="s">
        <v>1709</v>
      </c>
      <c r="Z303">
        <v>2017</v>
      </c>
      <c r="AB303" t="s">
        <v>1710</v>
      </c>
    </row>
    <row r="304" spans="1:28" x14ac:dyDescent="0.25">
      <c r="A304" t="s">
        <v>1711</v>
      </c>
      <c r="B304" t="s">
        <v>1712</v>
      </c>
      <c r="C304" t="s">
        <v>1713</v>
      </c>
      <c r="D304" t="s">
        <v>346</v>
      </c>
      <c r="E304" t="s">
        <v>347</v>
      </c>
      <c r="F304" t="s">
        <v>347</v>
      </c>
      <c r="G304" t="s">
        <v>513</v>
      </c>
      <c r="H304" t="s">
        <v>514</v>
      </c>
      <c r="I304" t="s">
        <v>481</v>
      </c>
      <c r="J304" t="s">
        <v>482</v>
      </c>
      <c r="K304">
        <v>1070</v>
      </c>
      <c r="L304">
        <v>5.27</v>
      </c>
      <c r="M304" t="s">
        <v>1003</v>
      </c>
      <c r="N304">
        <v>45.204099999999997</v>
      </c>
      <c r="O304">
        <v>-68.740200000000002</v>
      </c>
      <c r="P304">
        <v>60</v>
      </c>
      <c r="Q304">
        <v>29</v>
      </c>
      <c r="R304">
        <v>1996</v>
      </c>
      <c r="S304">
        <v>2024</v>
      </c>
      <c r="T304" t="s">
        <v>1714</v>
      </c>
      <c r="U304" t="s">
        <v>1715</v>
      </c>
      <c r="V304">
        <v>1996</v>
      </c>
      <c r="W304">
        <v>2023</v>
      </c>
      <c r="X304" t="s">
        <v>1716</v>
      </c>
      <c r="Y304" t="s">
        <v>1717</v>
      </c>
      <c r="Z304">
        <v>1996</v>
      </c>
      <c r="AB304" t="s">
        <v>1718</v>
      </c>
    </row>
    <row r="305" spans="1:28" x14ac:dyDescent="0.25">
      <c r="A305" t="s">
        <v>39</v>
      </c>
      <c r="B305" t="s">
        <v>1719</v>
      </c>
      <c r="C305" t="s">
        <v>1713</v>
      </c>
      <c r="D305" t="s">
        <v>346</v>
      </c>
      <c r="E305" t="s">
        <v>347</v>
      </c>
      <c r="F305" t="s">
        <v>347</v>
      </c>
      <c r="G305" t="s">
        <v>513</v>
      </c>
      <c r="H305" t="s">
        <v>514</v>
      </c>
      <c r="I305" t="s">
        <v>481</v>
      </c>
      <c r="J305" t="s">
        <v>482</v>
      </c>
      <c r="K305">
        <v>1064</v>
      </c>
      <c r="L305">
        <v>5.13</v>
      </c>
      <c r="M305" t="s">
        <v>1003</v>
      </c>
      <c r="N305">
        <v>45.209099999999999</v>
      </c>
      <c r="O305">
        <v>-68.747</v>
      </c>
      <c r="P305">
        <v>61</v>
      </c>
      <c r="Q305">
        <v>26</v>
      </c>
      <c r="R305">
        <v>1999</v>
      </c>
      <c r="S305">
        <v>2024</v>
      </c>
      <c r="T305" t="s">
        <v>1720</v>
      </c>
      <c r="U305" t="s">
        <v>1721</v>
      </c>
      <c r="V305">
        <v>1999</v>
      </c>
      <c r="W305">
        <v>2023</v>
      </c>
      <c r="X305" t="s">
        <v>1722</v>
      </c>
      <c r="Y305" t="s">
        <v>1723</v>
      </c>
      <c r="Z305">
        <v>1999</v>
      </c>
      <c r="AB305" t="s">
        <v>1724</v>
      </c>
    </row>
    <row r="306" spans="1:28" x14ac:dyDescent="0.25">
      <c r="A306" t="s">
        <v>1725</v>
      </c>
      <c r="B306" t="s">
        <v>1726</v>
      </c>
      <c r="C306" t="s">
        <v>1713</v>
      </c>
      <c r="D306" t="s">
        <v>346</v>
      </c>
      <c r="E306" t="s">
        <v>347</v>
      </c>
      <c r="F306" t="s">
        <v>348</v>
      </c>
      <c r="G306" t="s">
        <v>513</v>
      </c>
      <c r="H306" t="s">
        <v>514</v>
      </c>
      <c r="I306" t="s">
        <v>481</v>
      </c>
      <c r="J306" t="s">
        <v>482</v>
      </c>
      <c r="K306">
        <v>1072</v>
      </c>
      <c r="L306">
        <v>5.31</v>
      </c>
      <c r="M306" t="s">
        <v>1003</v>
      </c>
      <c r="N306">
        <v>45.2072</v>
      </c>
      <c r="O306">
        <v>-68.724999999999994</v>
      </c>
      <c r="P306">
        <v>61</v>
      </c>
      <c r="Q306">
        <v>7</v>
      </c>
      <c r="R306">
        <v>2003</v>
      </c>
      <c r="S306">
        <v>2009</v>
      </c>
      <c r="T306" t="s">
        <v>845</v>
      </c>
      <c r="U306" t="s">
        <v>1727</v>
      </c>
      <c r="Z306">
        <v>2000</v>
      </c>
      <c r="AB306" t="s">
        <v>720</v>
      </c>
    </row>
    <row r="307" spans="1:28" x14ac:dyDescent="0.25">
      <c r="A307" t="s">
        <v>1728</v>
      </c>
      <c r="B307" t="s">
        <v>1729</v>
      </c>
      <c r="C307" t="s">
        <v>1730</v>
      </c>
      <c r="D307" t="s">
        <v>375</v>
      </c>
      <c r="E307" t="s">
        <v>348</v>
      </c>
      <c r="F307" t="s">
        <v>348</v>
      </c>
      <c r="G307" t="s">
        <v>376</v>
      </c>
      <c r="H307" t="s">
        <v>377</v>
      </c>
      <c r="I307" t="s">
        <v>360</v>
      </c>
      <c r="J307" t="s">
        <v>361</v>
      </c>
      <c r="K307">
        <v>1120</v>
      </c>
      <c r="L307">
        <v>11.5</v>
      </c>
      <c r="M307" t="s">
        <v>1003</v>
      </c>
      <c r="N307">
        <v>40.769199999999998</v>
      </c>
      <c r="O307">
        <v>-74.085300000000004</v>
      </c>
      <c r="P307">
        <v>1</v>
      </c>
      <c r="Q307">
        <v>0</v>
      </c>
      <c r="Z307">
        <v>2012</v>
      </c>
      <c r="AA307">
        <v>2019</v>
      </c>
    </row>
    <row r="308" spans="1:28" x14ac:dyDescent="0.25">
      <c r="A308" t="s">
        <v>1731</v>
      </c>
      <c r="B308" t="s">
        <v>1732</v>
      </c>
      <c r="C308" t="s">
        <v>1733</v>
      </c>
      <c r="D308" t="s">
        <v>346</v>
      </c>
      <c r="E308" t="s">
        <v>347</v>
      </c>
      <c r="F308" t="s">
        <v>348</v>
      </c>
      <c r="G308" t="s">
        <v>349</v>
      </c>
      <c r="H308" t="s">
        <v>350</v>
      </c>
      <c r="I308" t="s">
        <v>360</v>
      </c>
      <c r="J308" t="s">
        <v>361</v>
      </c>
      <c r="K308">
        <v>1250</v>
      </c>
      <c r="L308">
        <v>16.7</v>
      </c>
      <c r="M308" t="s">
        <v>1003</v>
      </c>
      <c r="N308">
        <v>34.5852</v>
      </c>
      <c r="O308">
        <v>-91.7517</v>
      </c>
      <c r="Q308">
        <v>3</v>
      </c>
      <c r="R308">
        <v>2015</v>
      </c>
      <c r="S308">
        <v>2017</v>
      </c>
      <c r="T308" t="s">
        <v>927</v>
      </c>
      <c r="U308" t="s">
        <v>1734</v>
      </c>
      <c r="Z308">
        <v>2015</v>
      </c>
      <c r="AA308">
        <v>2017</v>
      </c>
      <c r="AB308" t="s">
        <v>1735</v>
      </c>
    </row>
    <row r="309" spans="1:28" x14ac:dyDescent="0.25">
      <c r="A309" t="s">
        <v>1736</v>
      </c>
      <c r="B309" t="s">
        <v>1737</v>
      </c>
      <c r="C309" t="s">
        <v>1145</v>
      </c>
      <c r="D309" t="s">
        <v>346</v>
      </c>
      <c r="E309" t="s">
        <v>347</v>
      </c>
      <c r="F309" t="s">
        <v>348</v>
      </c>
      <c r="G309" t="s">
        <v>349</v>
      </c>
      <c r="H309" t="s">
        <v>350</v>
      </c>
      <c r="I309" t="s">
        <v>360</v>
      </c>
      <c r="J309" t="s">
        <v>361</v>
      </c>
      <c r="K309">
        <v>1250</v>
      </c>
      <c r="L309">
        <v>16.7</v>
      </c>
      <c r="M309" t="s">
        <v>1003</v>
      </c>
      <c r="N309">
        <v>34.588799999999999</v>
      </c>
      <c r="O309">
        <v>-91.7517</v>
      </c>
      <c r="Q309">
        <v>3</v>
      </c>
      <c r="R309">
        <v>2015</v>
      </c>
      <c r="S309">
        <v>2017</v>
      </c>
      <c r="T309" t="s">
        <v>927</v>
      </c>
      <c r="U309" t="s">
        <v>1738</v>
      </c>
      <c r="Z309">
        <v>2015</v>
      </c>
      <c r="AB309" t="s">
        <v>1735</v>
      </c>
    </row>
    <row r="310" spans="1:28" x14ac:dyDescent="0.25">
      <c r="A310" t="s">
        <v>1739</v>
      </c>
      <c r="B310" t="s">
        <v>1740</v>
      </c>
      <c r="C310" t="s">
        <v>1145</v>
      </c>
      <c r="D310" t="s">
        <v>375</v>
      </c>
      <c r="E310" t="s">
        <v>348</v>
      </c>
      <c r="F310" t="s">
        <v>348</v>
      </c>
      <c r="G310" t="s">
        <v>349</v>
      </c>
      <c r="H310" t="s">
        <v>350</v>
      </c>
      <c r="I310" t="s">
        <v>360</v>
      </c>
      <c r="J310" t="s">
        <v>361</v>
      </c>
      <c r="K310">
        <v>1250</v>
      </c>
      <c r="L310">
        <v>16.7</v>
      </c>
      <c r="M310" t="s">
        <v>1003</v>
      </c>
      <c r="N310">
        <v>34.595500000000001</v>
      </c>
      <c r="O310">
        <v>-91.713200000000001</v>
      </c>
      <c r="P310">
        <v>61</v>
      </c>
      <c r="Q310">
        <v>0</v>
      </c>
      <c r="Z310">
        <v>2019</v>
      </c>
      <c r="AA310">
        <v>2019</v>
      </c>
    </row>
    <row r="311" spans="1:28" x14ac:dyDescent="0.25">
      <c r="A311" t="s">
        <v>1741</v>
      </c>
      <c r="B311" t="s">
        <v>1742</v>
      </c>
      <c r="C311" t="s">
        <v>1743</v>
      </c>
      <c r="D311" t="s">
        <v>346</v>
      </c>
      <c r="E311" t="s">
        <v>348</v>
      </c>
      <c r="F311" t="s">
        <v>348</v>
      </c>
      <c r="G311" t="s">
        <v>376</v>
      </c>
      <c r="H311" t="s">
        <v>377</v>
      </c>
      <c r="I311" t="s">
        <v>481</v>
      </c>
      <c r="J311" t="s">
        <v>482</v>
      </c>
      <c r="K311">
        <v>1195</v>
      </c>
      <c r="L311">
        <v>9.9</v>
      </c>
      <c r="M311" t="s">
        <v>1003</v>
      </c>
      <c r="N311">
        <v>41.938000000000002</v>
      </c>
      <c r="O311">
        <v>-70.055199999999999</v>
      </c>
      <c r="P311">
        <v>0.5</v>
      </c>
      <c r="Q311">
        <v>0</v>
      </c>
      <c r="Z311">
        <v>2017</v>
      </c>
    </row>
    <row r="312" spans="1:28" x14ac:dyDescent="0.25">
      <c r="A312" t="s">
        <v>1744</v>
      </c>
      <c r="B312" t="s">
        <v>1745</v>
      </c>
      <c r="C312" t="s">
        <v>1733</v>
      </c>
      <c r="D312" t="s">
        <v>375</v>
      </c>
      <c r="E312" t="s">
        <v>348</v>
      </c>
      <c r="F312" t="s">
        <v>348</v>
      </c>
      <c r="G312" t="s">
        <v>349</v>
      </c>
      <c r="H312" t="s">
        <v>350</v>
      </c>
      <c r="I312" t="s">
        <v>360</v>
      </c>
      <c r="J312" t="s">
        <v>361</v>
      </c>
      <c r="K312">
        <v>1250.3</v>
      </c>
      <c r="L312">
        <v>16.78</v>
      </c>
      <c r="M312" t="s">
        <v>1003</v>
      </c>
      <c r="N312">
        <v>34.592199999999998</v>
      </c>
      <c r="O312">
        <v>-91.713800000000006</v>
      </c>
      <c r="P312">
        <v>61</v>
      </c>
      <c r="Q312">
        <v>0</v>
      </c>
      <c r="Z312">
        <v>2017</v>
      </c>
      <c r="AA312">
        <v>2019</v>
      </c>
    </row>
    <row r="313" spans="1:28" x14ac:dyDescent="0.25">
      <c r="A313" t="s">
        <v>1746</v>
      </c>
      <c r="B313" t="s">
        <v>1747</v>
      </c>
      <c r="C313" t="s">
        <v>1167</v>
      </c>
      <c r="D313" t="s">
        <v>346</v>
      </c>
      <c r="E313" t="s">
        <v>347</v>
      </c>
      <c r="F313" t="s">
        <v>348</v>
      </c>
      <c r="G313" t="s">
        <v>376</v>
      </c>
      <c r="H313" t="s">
        <v>377</v>
      </c>
      <c r="I313" t="s">
        <v>632</v>
      </c>
      <c r="J313" t="s">
        <v>633</v>
      </c>
      <c r="K313">
        <v>450</v>
      </c>
      <c r="L313">
        <v>15.6</v>
      </c>
      <c r="M313" t="s">
        <v>1003</v>
      </c>
      <c r="N313">
        <v>38.236800000000002</v>
      </c>
      <c r="O313">
        <v>-122.02119999999999</v>
      </c>
      <c r="P313">
        <v>1.113</v>
      </c>
      <c r="Q313">
        <v>4</v>
      </c>
      <c r="R313">
        <v>2021</v>
      </c>
      <c r="S313">
        <v>2024</v>
      </c>
      <c r="T313" t="s">
        <v>1495</v>
      </c>
      <c r="U313" t="s">
        <v>1748</v>
      </c>
      <c r="Z313">
        <v>2021</v>
      </c>
      <c r="AB313" t="s">
        <v>1749</v>
      </c>
    </row>
    <row r="314" spans="1:28" x14ac:dyDescent="0.25">
      <c r="A314" t="s">
        <v>1750</v>
      </c>
      <c r="B314" t="s">
        <v>1751</v>
      </c>
      <c r="C314" t="s">
        <v>1119</v>
      </c>
      <c r="D314" t="s">
        <v>375</v>
      </c>
      <c r="E314" t="s">
        <v>347</v>
      </c>
      <c r="F314" t="s">
        <v>348</v>
      </c>
      <c r="G314" t="s">
        <v>376</v>
      </c>
      <c r="H314" t="s">
        <v>377</v>
      </c>
      <c r="I314" t="s">
        <v>539</v>
      </c>
      <c r="J314" t="s">
        <v>540</v>
      </c>
      <c r="K314">
        <v>217</v>
      </c>
      <c r="L314">
        <v>-10.29</v>
      </c>
      <c r="M314" t="s">
        <v>1003</v>
      </c>
      <c r="N314">
        <v>69.142300000000006</v>
      </c>
      <c r="O314">
        <v>-148.84119999999999</v>
      </c>
      <c r="P314">
        <v>298</v>
      </c>
      <c r="Q314">
        <v>2</v>
      </c>
      <c r="R314">
        <v>1994</v>
      </c>
      <c r="S314">
        <v>1995</v>
      </c>
      <c r="T314" t="s">
        <v>1752</v>
      </c>
      <c r="U314" t="s">
        <v>1753</v>
      </c>
      <c r="Z314">
        <v>1994</v>
      </c>
      <c r="AA314">
        <v>1995</v>
      </c>
      <c r="AB314" t="s">
        <v>720</v>
      </c>
    </row>
    <row r="315" spans="1:28" x14ac:dyDescent="0.25">
      <c r="A315" t="s">
        <v>1754</v>
      </c>
      <c r="B315" t="s">
        <v>1755</v>
      </c>
      <c r="C315" t="s">
        <v>1338</v>
      </c>
      <c r="D315" t="s">
        <v>346</v>
      </c>
      <c r="E315" t="s">
        <v>347</v>
      </c>
      <c r="F315" t="s">
        <v>348</v>
      </c>
      <c r="G315" t="s">
        <v>376</v>
      </c>
      <c r="H315" t="s">
        <v>377</v>
      </c>
      <c r="I315" t="s">
        <v>680</v>
      </c>
      <c r="J315" t="s">
        <v>681</v>
      </c>
      <c r="K315">
        <v>217</v>
      </c>
      <c r="L315">
        <v>-10.29</v>
      </c>
      <c r="M315" t="s">
        <v>1003</v>
      </c>
      <c r="N315">
        <v>69.167199999999994</v>
      </c>
      <c r="O315">
        <v>-148.8569</v>
      </c>
      <c r="P315">
        <v>320</v>
      </c>
      <c r="Q315">
        <v>1</v>
      </c>
      <c r="R315">
        <v>1995</v>
      </c>
      <c r="S315">
        <v>1995</v>
      </c>
      <c r="T315">
        <v>1995</v>
      </c>
      <c r="U315" t="s">
        <v>1756</v>
      </c>
      <c r="Z315">
        <v>1995</v>
      </c>
      <c r="AA315">
        <v>1995</v>
      </c>
      <c r="AB315" t="s">
        <v>1757</v>
      </c>
    </row>
    <row r="316" spans="1:28" x14ac:dyDescent="0.25">
      <c r="A316" t="s">
        <v>40</v>
      </c>
      <c r="B316" t="s">
        <v>1758</v>
      </c>
      <c r="C316" t="s">
        <v>1759</v>
      </c>
      <c r="D316" t="s">
        <v>346</v>
      </c>
      <c r="E316" t="s">
        <v>347</v>
      </c>
      <c r="F316" t="s">
        <v>347</v>
      </c>
      <c r="G316" t="s">
        <v>446</v>
      </c>
      <c r="H316" t="s">
        <v>447</v>
      </c>
      <c r="I316" t="s">
        <v>481</v>
      </c>
      <c r="J316" t="s">
        <v>482</v>
      </c>
      <c r="K316">
        <v>1006.35</v>
      </c>
      <c r="L316">
        <v>10.1</v>
      </c>
      <c r="M316" t="s">
        <v>1003</v>
      </c>
      <c r="N316">
        <v>40.860799999999998</v>
      </c>
      <c r="O316">
        <v>-77.848799999999997</v>
      </c>
      <c r="P316">
        <v>378</v>
      </c>
      <c r="Q316">
        <v>4</v>
      </c>
      <c r="R316">
        <v>2015</v>
      </c>
      <c r="S316">
        <v>2018</v>
      </c>
      <c r="T316" t="s">
        <v>886</v>
      </c>
      <c r="U316" t="s">
        <v>1760</v>
      </c>
      <c r="V316">
        <v>2015</v>
      </c>
      <c r="W316">
        <v>2018</v>
      </c>
      <c r="X316" t="s">
        <v>886</v>
      </c>
      <c r="Y316" t="s">
        <v>1761</v>
      </c>
      <c r="Z316">
        <v>2015</v>
      </c>
      <c r="AA316">
        <v>2018</v>
      </c>
      <c r="AB316" t="s">
        <v>1762</v>
      </c>
    </row>
    <row r="317" spans="1:28" x14ac:dyDescent="0.25">
      <c r="A317" t="s">
        <v>1763</v>
      </c>
      <c r="B317" t="s">
        <v>1764</v>
      </c>
      <c r="C317" t="s">
        <v>1058</v>
      </c>
      <c r="D317" t="s">
        <v>346</v>
      </c>
      <c r="E317" t="s">
        <v>347</v>
      </c>
      <c r="F317" t="s">
        <v>348</v>
      </c>
      <c r="G317" t="s">
        <v>349</v>
      </c>
      <c r="H317" t="s">
        <v>350</v>
      </c>
      <c r="I317" t="s">
        <v>1175</v>
      </c>
      <c r="J317" t="s">
        <v>1176</v>
      </c>
      <c r="K317">
        <v>929.23</v>
      </c>
      <c r="L317">
        <v>9.18</v>
      </c>
      <c r="M317" t="s">
        <v>1003</v>
      </c>
      <c r="N317">
        <v>41.859299999999998</v>
      </c>
      <c r="O317">
        <v>-88.222700000000003</v>
      </c>
      <c r="P317">
        <v>226.5</v>
      </c>
      <c r="Q317">
        <v>14</v>
      </c>
      <c r="R317">
        <v>2005</v>
      </c>
      <c r="S317">
        <v>2018</v>
      </c>
      <c r="T317" t="s">
        <v>1765</v>
      </c>
      <c r="U317" t="s">
        <v>1766</v>
      </c>
      <c r="Z317">
        <v>2005</v>
      </c>
      <c r="AB317" t="s">
        <v>1767</v>
      </c>
    </row>
    <row r="318" spans="1:28" x14ac:dyDescent="0.25">
      <c r="A318" t="s">
        <v>1768</v>
      </c>
      <c r="B318" t="s">
        <v>1769</v>
      </c>
      <c r="C318" t="s">
        <v>1058</v>
      </c>
      <c r="D318" t="s">
        <v>346</v>
      </c>
      <c r="E318" t="s">
        <v>347</v>
      </c>
      <c r="F318" t="s">
        <v>348</v>
      </c>
      <c r="G318" t="s">
        <v>367</v>
      </c>
      <c r="H318" t="s">
        <v>368</v>
      </c>
      <c r="I318" t="s">
        <v>1175</v>
      </c>
      <c r="J318" t="s">
        <v>1176</v>
      </c>
      <c r="K318">
        <v>930.25</v>
      </c>
      <c r="L318">
        <v>9.0399999999999991</v>
      </c>
      <c r="M318" t="s">
        <v>1003</v>
      </c>
      <c r="N318">
        <v>41.840600000000002</v>
      </c>
      <c r="O318">
        <v>-88.241</v>
      </c>
      <c r="P318">
        <v>226.5</v>
      </c>
      <c r="Q318">
        <v>15</v>
      </c>
      <c r="R318">
        <v>2004</v>
      </c>
      <c r="S318">
        <v>2018</v>
      </c>
      <c r="T318" t="s">
        <v>1770</v>
      </c>
      <c r="U318" t="s">
        <v>1771</v>
      </c>
      <c r="Z318">
        <v>2004</v>
      </c>
      <c r="AB318" t="s">
        <v>1767</v>
      </c>
    </row>
    <row r="319" spans="1:28" x14ac:dyDescent="0.25">
      <c r="A319" t="s">
        <v>41</v>
      </c>
      <c r="B319" t="s">
        <v>1772</v>
      </c>
      <c r="C319" t="s">
        <v>1773</v>
      </c>
      <c r="D319" t="s">
        <v>346</v>
      </c>
      <c r="E319" t="s">
        <v>347</v>
      </c>
      <c r="F319" t="s">
        <v>347</v>
      </c>
      <c r="G319" t="s">
        <v>581</v>
      </c>
      <c r="H319" t="s">
        <v>582</v>
      </c>
      <c r="I319" t="s">
        <v>680</v>
      </c>
      <c r="J319" t="s">
        <v>681</v>
      </c>
      <c r="K319">
        <v>318</v>
      </c>
      <c r="L319">
        <v>-7.4</v>
      </c>
      <c r="M319" t="s">
        <v>1003</v>
      </c>
      <c r="N319">
        <v>68.606800000000007</v>
      </c>
      <c r="O319">
        <v>-149.29580000000001</v>
      </c>
      <c r="P319">
        <v>940</v>
      </c>
      <c r="Q319">
        <v>18</v>
      </c>
      <c r="R319">
        <v>2007</v>
      </c>
      <c r="S319">
        <v>2024</v>
      </c>
      <c r="T319" t="s">
        <v>1774</v>
      </c>
      <c r="U319" t="s">
        <v>1775</v>
      </c>
      <c r="V319">
        <v>2007</v>
      </c>
      <c r="W319">
        <v>2023</v>
      </c>
      <c r="X319" t="s">
        <v>1776</v>
      </c>
      <c r="Y319" t="s">
        <v>1777</v>
      </c>
      <c r="Z319">
        <v>2007</v>
      </c>
      <c r="AB319" t="s">
        <v>1778</v>
      </c>
    </row>
    <row r="320" spans="1:28" x14ac:dyDescent="0.25">
      <c r="A320" t="s">
        <v>42</v>
      </c>
      <c r="B320" t="s">
        <v>1779</v>
      </c>
      <c r="C320" t="s">
        <v>1773</v>
      </c>
      <c r="D320" t="s">
        <v>346</v>
      </c>
      <c r="E320" t="s">
        <v>347</v>
      </c>
      <c r="F320" t="s">
        <v>347</v>
      </c>
      <c r="G320" t="s">
        <v>376</v>
      </c>
      <c r="H320" t="s">
        <v>377</v>
      </c>
      <c r="I320" t="s">
        <v>680</v>
      </c>
      <c r="J320" t="s">
        <v>681</v>
      </c>
      <c r="K320">
        <v>318</v>
      </c>
      <c r="L320">
        <v>-7.4</v>
      </c>
      <c r="M320" t="s">
        <v>1003</v>
      </c>
      <c r="N320">
        <v>68.605800000000002</v>
      </c>
      <c r="O320">
        <v>-149.31100000000001</v>
      </c>
      <c r="P320">
        <v>920</v>
      </c>
      <c r="Q320">
        <v>18</v>
      </c>
      <c r="R320">
        <v>2007</v>
      </c>
      <c r="S320">
        <v>2024</v>
      </c>
      <c r="T320" t="s">
        <v>1774</v>
      </c>
      <c r="U320" t="s">
        <v>1780</v>
      </c>
      <c r="V320">
        <v>2007</v>
      </c>
      <c r="W320">
        <v>2023</v>
      </c>
      <c r="X320" t="s">
        <v>1776</v>
      </c>
      <c r="Y320" t="s">
        <v>1781</v>
      </c>
      <c r="Z320">
        <v>2007</v>
      </c>
      <c r="AB320" t="s">
        <v>1782</v>
      </c>
    </row>
    <row r="321" spans="1:28" x14ac:dyDescent="0.25">
      <c r="A321" t="s">
        <v>43</v>
      </c>
      <c r="B321" t="s">
        <v>1783</v>
      </c>
      <c r="C321" t="s">
        <v>1773</v>
      </c>
      <c r="D321" t="s">
        <v>346</v>
      </c>
      <c r="E321" t="s">
        <v>347</v>
      </c>
      <c r="F321" t="s">
        <v>347</v>
      </c>
      <c r="G321" t="s">
        <v>581</v>
      </c>
      <c r="H321" t="s">
        <v>582</v>
      </c>
      <c r="I321" t="s">
        <v>680</v>
      </c>
      <c r="J321" t="s">
        <v>681</v>
      </c>
      <c r="K321">
        <v>318</v>
      </c>
      <c r="L321">
        <v>-7.4</v>
      </c>
      <c r="M321" t="s">
        <v>1003</v>
      </c>
      <c r="N321">
        <v>68.606300000000005</v>
      </c>
      <c r="O321">
        <v>-149.30410000000001</v>
      </c>
      <c r="P321">
        <v>930</v>
      </c>
      <c r="Q321">
        <v>18</v>
      </c>
      <c r="R321">
        <v>2007</v>
      </c>
      <c r="S321">
        <v>2024</v>
      </c>
      <c r="T321" t="s">
        <v>1774</v>
      </c>
      <c r="U321" t="s">
        <v>1784</v>
      </c>
      <c r="V321">
        <v>2007</v>
      </c>
      <c r="W321">
        <v>2023</v>
      </c>
      <c r="X321" t="s">
        <v>1776</v>
      </c>
      <c r="Y321" t="s">
        <v>1785</v>
      </c>
      <c r="Z321">
        <v>2007</v>
      </c>
      <c r="AB321" t="s">
        <v>1786</v>
      </c>
    </row>
    <row r="322" spans="1:28" x14ac:dyDescent="0.25">
      <c r="A322" t="s">
        <v>1787</v>
      </c>
      <c r="B322" t="s">
        <v>1788</v>
      </c>
      <c r="C322" t="s">
        <v>1789</v>
      </c>
      <c r="D322" t="s">
        <v>346</v>
      </c>
      <c r="E322" t="s">
        <v>348</v>
      </c>
      <c r="F322" t="s">
        <v>348</v>
      </c>
      <c r="G322" t="s">
        <v>367</v>
      </c>
      <c r="H322" t="s">
        <v>368</v>
      </c>
      <c r="I322" t="s">
        <v>360</v>
      </c>
      <c r="J322" t="s">
        <v>361</v>
      </c>
      <c r="K322">
        <v>1300</v>
      </c>
      <c r="L322">
        <v>22.5</v>
      </c>
      <c r="M322" t="s">
        <v>1003</v>
      </c>
      <c r="N322">
        <v>27.187899999999999</v>
      </c>
      <c r="O322">
        <v>-81.199600000000004</v>
      </c>
      <c r="P322">
        <v>14.7</v>
      </c>
      <c r="Q322">
        <v>0</v>
      </c>
      <c r="Z322">
        <v>2013</v>
      </c>
    </row>
    <row r="323" spans="1:28" x14ac:dyDescent="0.25">
      <c r="A323" t="s">
        <v>1790</v>
      </c>
      <c r="B323" t="s">
        <v>1791</v>
      </c>
      <c r="C323" t="s">
        <v>1245</v>
      </c>
      <c r="D323" t="s">
        <v>346</v>
      </c>
      <c r="E323" t="s">
        <v>347</v>
      </c>
      <c r="F323" t="s">
        <v>348</v>
      </c>
      <c r="G323" t="s">
        <v>933</v>
      </c>
      <c r="H323" t="s">
        <v>934</v>
      </c>
      <c r="I323" t="s">
        <v>360</v>
      </c>
      <c r="J323" t="s">
        <v>361</v>
      </c>
      <c r="M323" t="s">
        <v>1003</v>
      </c>
      <c r="N323">
        <v>39.827300000000001</v>
      </c>
      <c r="O323">
        <v>-86.179000000000002</v>
      </c>
      <c r="Q323">
        <v>3</v>
      </c>
      <c r="R323">
        <v>2017</v>
      </c>
      <c r="S323">
        <v>2019</v>
      </c>
      <c r="T323" t="s">
        <v>1792</v>
      </c>
      <c r="U323" t="s">
        <v>1793</v>
      </c>
      <c r="Z323">
        <v>2017</v>
      </c>
      <c r="AA323">
        <v>2019</v>
      </c>
      <c r="AB323" t="s">
        <v>1247</v>
      </c>
    </row>
    <row r="324" spans="1:28" x14ac:dyDescent="0.25">
      <c r="A324" t="s">
        <v>1794</v>
      </c>
      <c r="B324" t="s">
        <v>1795</v>
      </c>
      <c r="C324" t="s">
        <v>1245</v>
      </c>
      <c r="D324" t="s">
        <v>346</v>
      </c>
      <c r="E324" t="s">
        <v>347</v>
      </c>
      <c r="F324" t="s">
        <v>348</v>
      </c>
      <c r="G324" t="s">
        <v>933</v>
      </c>
      <c r="H324" t="s">
        <v>934</v>
      </c>
      <c r="I324" t="s">
        <v>360</v>
      </c>
      <c r="J324" t="s">
        <v>361</v>
      </c>
      <c r="M324" t="s">
        <v>1003</v>
      </c>
      <c r="N324">
        <v>39.870600000000003</v>
      </c>
      <c r="O324">
        <v>-86.002399999999994</v>
      </c>
      <c r="Q324">
        <v>2</v>
      </c>
      <c r="R324">
        <v>2018</v>
      </c>
      <c r="S324">
        <v>2019</v>
      </c>
      <c r="T324" t="s">
        <v>985</v>
      </c>
      <c r="U324" t="s">
        <v>1796</v>
      </c>
      <c r="Z324">
        <v>2018</v>
      </c>
      <c r="AA324">
        <v>2019</v>
      </c>
      <c r="AB324" t="s">
        <v>1247</v>
      </c>
    </row>
    <row r="325" spans="1:28" x14ac:dyDescent="0.25">
      <c r="A325" t="s">
        <v>1797</v>
      </c>
      <c r="B325" t="s">
        <v>1798</v>
      </c>
      <c r="C325" t="s">
        <v>1245</v>
      </c>
      <c r="D325" t="s">
        <v>346</v>
      </c>
      <c r="E325" t="s">
        <v>347</v>
      </c>
      <c r="F325" t="s">
        <v>348</v>
      </c>
      <c r="G325" t="s">
        <v>933</v>
      </c>
      <c r="H325" t="s">
        <v>934</v>
      </c>
      <c r="I325" t="s">
        <v>360</v>
      </c>
      <c r="J325" t="s">
        <v>361</v>
      </c>
      <c r="M325" t="s">
        <v>1003</v>
      </c>
      <c r="N325">
        <v>39.783299999999997</v>
      </c>
      <c r="O325">
        <v>-86.165199999999999</v>
      </c>
      <c r="Q325">
        <v>4</v>
      </c>
      <c r="R325">
        <v>2020</v>
      </c>
      <c r="S325">
        <v>2023</v>
      </c>
      <c r="T325" t="s">
        <v>1514</v>
      </c>
      <c r="U325" t="s">
        <v>1799</v>
      </c>
      <c r="Z325">
        <v>2020</v>
      </c>
      <c r="AB325" t="s">
        <v>1800</v>
      </c>
    </row>
    <row r="326" spans="1:28" x14ac:dyDescent="0.25">
      <c r="A326" t="s">
        <v>1801</v>
      </c>
      <c r="B326" t="s">
        <v>1802</v>
      </c>
      <c r="C326" t="s">
        <v>1245</v>
      </c>
      <c r="D326" t="s">
        <v>346</v>
      </c>
      <c r="E326" t="s">
        <v>347</v>
      </c>
      <c r="F326" t="s">
        <v>348</v>
      </c>
      <c r="G326" t="s">
        <v>349</v>
      </c>
      <c r="H326" t="s">
        <v>350</v>
      </c>
      <c r="I326" t="s">
        <v>360</v>
      </c>
      <c r="J326" t="s">
        <v>361</v>
      </c>
      <c r="M326" t="s">
        <v>1003</v>
      </c>
      <c r="N326">
        <v>39.8645</v>
      </c>
      <c r="O326">
        <v>-86.500500000000002</v>
      </c>
      <c r="Q326">
        <v>2</v>
      </c>
      <c r="R326">
        <v>2017</v>
      </c>
      <c r="S326">
        <v>2018</v>
      </c>
      <c r="T326" t="s">
        <v>951</v>
      </c>
      <c r="U326" t="s">
        <v>1803</v>
      </c>
      <c r="Z326">
        <v>2017</v>
      </c>
      <c r="AA326">
        <v>2018</v>
      </c>
      <c r="AB326" t="s">
        <v>1247</v>
      </c>
    </row>
    <row r="327" spans="1:28" x14ac:dyDescent="0.25">
      <c r="A327" t="s">
        <v>1804</v>
      </c>
      <c r="B327" t="s">
        <v>1805</v>
      </c>
      <c r="C327" t="s">
        <v>1245</v>
      </c>
      <c r="D327" t="s">
        <v>346</v>
      </c>
      <c r="E327" t="s">
        <v>347</v>
      </c>
      <c r="F327" t="s">
        <v>348</v>
      </c>
      <c r="G327" t="s">
        <v>349</v>
      </c>
      <c r="H327" t="s">
        <v>350</v>
      </c>
      <c r="I327" t="s">
        <v>360</v>
      </c>
      <c r="J327" t="s">
        <v>361</v>
      </c>
      <c r="M327" t="s">
        <v>1003</v>
      </c>
      <c r="N327">
        <v>39.863199999999999</v>
      </c>
      <c r="O327">
        <v>-86.508300000000006</v>
      </c>
      <c r="Q327">
        <v>3</v>
      </c>
      <c r="R327">
        <v>2017</v>
      </c>
      <c r="S327">
        <v>2019</v>
      </c>
      <c r="T327" t="s">
        <v>1792</v>
      </c>
      <c r="U327" t="s">
        <v>1806</v>
      </c>
      <c r="Z327">
        <v>2017</v>
      </c>
      <c r="AA327">
        <v>2019</v>
      </c>
      <c r="AB327" t="s">
        <v>1247</v>
      </c>
    </row>
    <row r="328" spans="1:28" x14ac:dyDescent="0.25">
      <c r="A328" t="s">
        <v>1807</v>
      </c>
      <c r="B328" t="s">
        <v>1808</v>
      </c>
      <c r="C328" t="s">
        <v>1245</v>
      </c>
      <c r="D328" t="s">
        <v>346</v>
      </c>
      <c r="E328" t="s">
        <v>347</v>
      </c>
      <c r="F328" t="s">
        <v>348</v>
      </c>
      <c r="G328" t="s">
        <v>933</v>
      </c>
      <c r="H328" t="s">
        <v>934</v>
      </c>
      <c r="I328" t="s">
        <v>360</v>
      </c>
      <c r="J328" t="s">
        <v>361</v>
      </c>
      <c r="M328" t="s">
        <v>1003</v>
      </c>
      <c r="N328">
        <v>39.797800000000002</v>
      </c>
      <c r="O328">
        <v>-86.018299999999996</v>
      </c>
      <c r="Q328">
        <v>1</v>
      </c>
      <c r="R328">
        <v>2013</v>
      </c>
      <c r="S328">
        <v>2013</v>
      </c>
      <c r="T328">
        <v>2013</v>
      </c>
      <c r="U328" t="s">
        <v>1809</v>
      </c>
      <c r="Z328">
        <v>2013</v>
      </c>
      <c r="AA328">
        <v>2013</v>
      </c>
      <c r="AB328" t="s">
        <v>1810</v>
      </c>
    </row>
    <row r="329" spans="1:28" x14ac:dyDescent="0.25">
      <c r="A329" t="s">
        <v>1811</v>
      </c>
      <c r="B329" t="s">
        <v>1812</v>
      </c>
      <c r="C329" t="s">
        <v>1245</v>
      </c>
      <c r="D329" t="s">
        <v>346</v>
      </c>
      <c r="E329" t="s">
        <v>347</v>
      </c>
      <c r="F329" t="s">
        <v>348</v>
      </c>
      <c r="G329" t="s">
        <v>933</v>
      </c>
      <c r="H329" t="s">
        <v>934</v>
      </c>
      <c r="I329" t="s">
        <v>360</v>
      </c>
      <c r="J329" t="s">
        <v>361</v>
      </c>
      <c r="M329" t="s">
        <v>1003</v>
      </c>
      <c r="N329">
        <v>39.773899999999998</v>
      </c>
      <c r="O329">
        <v>-86.272400000000005</v>
      </c>
      <c r="Q329">
        <v>5</v>
      </c>
      <c r="R329">
        <v>2019</v>
      </c>
      <c r="S329">
        <v>2023</v>
      </c>
      <c r="T329" t="s">
        <v>1291</v>
      </c>
      <c r="U329" t="s">
        <v>1813</v>
      </c>
      <c r="Z329">
        <v>2019</v>
      </c>
      <c r="AB329" t="s">
        <v>1247</v>
      </c>
    </row>
    <row r="330" spans="1:28" x14ac:dyDescent="0.25">
      <c r="A330" t="s">
        <v>1814</v>
      </c>
      <c r="B330" t="s">
        <v>1815</v>
      </c>
      <c r="C330" t="s">
        <v>1245</v>
      </c>
      <c r="D330" t="s">
        <v>346</v>
      </c>
      <c r="E330" t="s">
        <v>347</v>
      </c>
      <c r="F330" t="s">
        <v>348</v>
      </c>
      <c r="G330" t="s">
        <v>349</v>
      </c>
      <c r="H330" t="s">
        <v>350</v>
      </c>
      <c r="I330" t="s">
        <v>360</v>
      </c>
      <c r="J330" t="s">
        <v>361</v>
      </c>
      <c r="M330" t="s">
        <v>1003</v>
      </c>
      <c r="N330">
        <v>39.816699999999997</v>
      </c>
      <c r="O330">
        <v>-85.700500000000005</v>
      </c>
      <c r="Q330">
        <v>4</v>
      </c>
      <c r="R330">
        <v>2019</v>
      </c>
      <c r="S330">
        <v>2022</v>
      </c>
      <c r="T330" t="s">
        <v>1321</v>
      </c>
      <c r="U330" t="s">
        <v>1816</v>
      </c>
      <c r="Z330">
        <v>2019</v>
      </c>
      <c r="AA330">
        <v>2022</v>
      </c>
      <c r="AB330" t="s">
        <v>1247</v>
      </c>
    </row>
    <row r="331" spans="1:28" x14ac:dyDescent="0.25">
      <c r="A331" t="s">
        <v>1817</v>
      </c>
      <c r="B331" t="s">
        <v>1818</v>
      </c>
      <c r="C331" t="s">
        <v>1245</v>
      </c>
      <c r="D331" t="s">
        <v>346</v>
      </c>
      <c r="E331" t="s">
        <v>347</v>
      </c>
      <c r="F331" t="s">
        <v>348</v>
      </c>
      <c r="G331" t="s">
        <v>349</v>
      </c>
      <c r="H331" t="s">
        <v>350</v>
      </c>
      <c r="I331" t="s">
        <v>360</v>
      </c>
      <c r="J331" t="s">
        <v>361</v>
      </c>
      <c r="M331" t="s">
        <v>1003</v>
      </c>
      <c r="N331">
        <v>39.876600000000003</v>
      </c>
      <c r="O331">
        <v>-85.706599999999995</v>
      </c>
      <c r="Q331">
        <v>4</v>
      </c>
      <c r="R331">
        <v>2020</v>
      </c>
      <c r="S331">
        <v>2023</v>
      </c>
      <c r="T331" t="s">
        <v>1514</v>
      </c>
      <c r="U331" t="s">
        <v>1819</v>
      </c>
      <c r="Z331">
        <v>2020</v>
      </c>
      <c r="AB331" t="s">
        <v>1247</v>
      </c>
    </row>
    <row r="332" spans="1:28" x14ac:dyDescent="0.25">
      <c r="A332" t="s">
        <v>1820</v>
      </c>
      <c r="B332" t="s">
        <v>1821</v>
      </c>
      <c r="C332" t="s">
        <v>1245</v>
      </c>
      <c r="D332" t="s">
        <v>346</v>
      </c>
      <c r="E332" t="s">
        <v>347</v>
      </c>
      <c r="F332" t="s">
        <v>348</v>
      </c>
      <c r="G332" t="s">
        <v>349</v>
      </c>
      <c r="H332" t="s">
        <v>350</v>
      </c>
      <c r="I332" t="s">
        <v>360</v>
      </c>
      <c r="J332" t="s">
        <v>361</v>
      </c>
      <c r="M332" t="s">
        <v>1003</v>
      </c>
      <c r="N332">
        <v>39.946800000000003</v>
      </c>
      <c r="O332">
        <v>-86.787999999999997</v>
      </c>
      <c r="Q332">
        <v>3</v>
      </c>
      <c r="R332">
        <v>2019</v>
      </c>
      <c r="S332">
        <v>2021</v>
      </c>
      <c r="T332" t="s">
        <v>1323</v>
      </c>
      <c r="U332" t="s">
        <v>1822</v>
      </c>
      <c r="Z332">
        <v>2019</v>
      </c>
      <c r="AA332">
        <v>2021</v>
      </c>
      <c r="AB332" t="s">
        <v>1247</v>
      </c>
    </row>
    <row r="333" spans="1:28" x14ac:dyDescent="0.25">
      <c r="A333" t="s">
        <v>1823</v>
      </c>
      <c r="B333" t="s">
        <v>1824</v>
      </c>
      <c r="C333" t="s">
        <v>1245</v>
      </c>
      <c r="D333" t="s">
        <v>346</v>
      </c>
      <c r="E333" t="s">
        <v>347</v>
      </c>
      <c r="F333" t="s">
        <v>348</v>
      </c>
      <c r="G333" t="s">
        <v>349</v>
      </c>
      <c r="H333" t="s">
        <v>350</v>
      </c>
      <c r="I333" t="s">
        <v>360</v>
      </c>
      <c r="J333" t="s">
        <v>361</v>
      </c>
      <c r="M333" t="s">
        <v>1003</v>
      </c>
      <c r="N333">
        <v>39.947699999999998</v>
      </c>
      <c r="O333">
        <v>-86.7821</v>
      </c>
      <c r="Q333">
        <v>2</v>
      </c>
      <c r="R333">
        <v>2020</v>
      </c>
      <c r="S333">
        <v>2021</v>
      </c>
      <c r="T333" t="s">
        <v>1393</v>
      </c>
      <c r="U333" t="s">
        <v>1825</v>
      </c>
      <c r="Z333">
        <v>2021</v>
      </c>
      <c r="AA333">
        <v>2021</v>
      </c>
      <c r="AB333" t="s">
        <v>1247</v>
      </c>
    </row>
    <row r="334" spans="1:28" x14ac:dyDescent="0.25">
      <c r="A334" t="s">
        <v>1826</v>
      </c>
      <c r="B334" t="s">
        <v>1827</v>
      </c>
      <c r="C334" t="s">
        <v>942</v>
      </c>
      <c r="D334" t="s">
        <v>375</v>
      </c>
      <c r="E334" t="s">
        <v>347</v>
      </c>
      <c r="F334" t="s">
        <v>348</v>
      </c>
      <c r="G334" t="s">
        <v>376</v>
      </c>
      <c r="H334" t="s">
        <v>377</v>
      </c>
      <c r="I334" t="s">
        <v>680</v>
      </c>
      <c r="J334" t="s">
        <v>681</v>
      </c>
      <c r="K334">
        <v>304</v>
      </c>
      <c r="L334">
        <v>-8.2799999999999994</v>
      </c>
      <c r="M334" t="s">
        <v>1003</v>
      </c>
      <c r="N334">
        <v>68.486500000000007</v>
      </c>
      <c r="O334">
        <v>-155.75030000000001</v>
      </c>
      <c r="P334">
        <v>568</v>
      </c>
      <c r="Q334">
        <v>14</v>
      </c>
      <c r="R334">
        <v>2003</v>
      </c>
      <c r="S334">
        <v>2016</v>
      </c>
      <c r="T334" t="s">
        <v>1828</v>
      </c>
      <c r="U334" t="s">
        <v>1829</v>
      </c>
      <c r="Z334">
        <v>2003</v>
      </c>
      <c r="AB334" t="s">
        <v>1830</v>
      </c>
    </row>
    <row r="335" spans="1:28" x14ac:dyDescent="0.25">
      <c r="A335" t="s">
        <v>1831</v>
      </c>
      <c r="B335" t="s">
        <v>1832</v>
      </c>
      <c r="C335" t="s">
        <v>1833</v>
      </c>
      <c r="D335" t="s">
        <v>375</v>
      </c>
      <c r="E335" t="s">
        <v>348</v>
      </c>
      <c r="F335" t="s">
        <v>348</v>
      </c>
      <c r="G335" t="s">
        <v>376</v>
      </c>
      <c r="H335" t="s">
        <v>377</v>
      </c>
      <c r="I335" t="s">
        <v>360</v>
      </c>
      <c r="J335" t="s">
        <v>361</v>
      </c>
      <c r="K335">
        <v>1120</v>
      </c>
      <c r="L335">
        <v>13.1</v>
      </c>
      <c r="M335" t="s">
        <v>1003</v>
      </c>
      <c r="N335">
        <v>39.057400000000001</v>
      </c>
      <c r="O335">
        <v>-75.753100000000003</v>
      </c>
      <c r="P335">
        <v>17</v>
      </c>
      <c r="Q335">
        <v>0</v>
      </c>
      <c r="Z335">
        <v>2018</v>
      </c>
    </row>
    <row r="336" spans="1:28" x14ac:dyDescent="0.25">
      <c r="A336" t="s">
        <v>1834</v>
      </c>
      <c r="B336" t="s">
        <v>1835</v>
      </c>
      <c r="C336" t="s">
        <v>1833</v>
      </c>
      <c r="D336" t="s">
        <v>375</v>
      </c>
      <c r="E336" t="s">
        <v>348</v>
      </c>
      <c r="F336" t="s">
        <v>348</v>
      </c>
      <c r="G336" t="s">
        <v>376</v>
      </c>
      <c r="H336" t="s">
        <v>377</v>
      </c>
      <c r="I336" t="s">
        <v>360</v>
      </c>
      <c r="J336" t="s">
        <v>361</v>
      </c>
      <c r="K336">
        <v>1120</v>
      </c>
      <c r="L336">
        <v>13.1</v>
      </c>
      <c r="M336" t="s">
        <v>1003</v>
      </c>
      <c r="N336">
        <v>39.054299999999998</v>
      </c>
      <c r="O336">
        <v>-75.753100000000003</v>
      </c>
      <c r="P336">
        <v>17</v>
      </c>
      <c r="Q336">
        <v>0</v>
      </c>
      <c r="Z336">
        <v>2018</v>
      </c>
    </row>
    <row r="337" spans="1:28" x14ac:dyDescent="0.25">
      <c r="A337" t="s">
        <v>44</v>
      </c>
      <c r="B337" t="s">
        <v>1836</v>
      </c>
      <c r="C337" t="s">
        <v>1837</v>
      </c>
      <c r="D337" t="s">
        <v>346</v>
      </c>
      <c r="E337" t="s">
        <v>347</v>
      </c>
      <c r="F337" t="s">
        <v>347</v>
      </c>
      <c r="G337" t="s">
        <v>581</v>
      </c>
      <c r="H337" t="s">
        <v>582</v>
      </c>
      <c r="I337" t="s">
        <v>935</v>
      </c>
      <c r="J337" t="s">
        <v>936</v>
      </c>
      <c r="K337">
        <v>245.1</v>
      </c>
      <c r="L337">
        <v>14.7</v>
      </c>
      <c r="M337" t="s">
        <v>1003</v>
      </c>
      <c r="N337">
        <v>32.582000000000001</v>
      </c>
      <c r="O337">
        <v>-106.63500000000001</v>
      </c>
      <c r="P337">
        <v>1188</v>
      </c>
      <c r="Q337">
        <v>13</v>
      </c>
      <c r="R337">
        <v>2010</v>
      </c>
      <c r="S337">
        <v>2022</v>
      </c>
      <c r="T337" t="s">
        <v>1838</v>
      </c>
      <c r="U337" t="s">
        <v>1839</v>
      </c>
      <c r="V337">
        <v>2010</v>
      </c>
      <c r="W337">
        <v>2022</v>
      </c>
      <c r="X337" t="s">
        <v>1838</v>
      </c>
      <c r="Y337" t="s">
        <v>1840</v>
      </c>
      <c r="Z337">
        <v>2010</v>
      </c>
      <c r="AB337" t="s">
        <v>1841</v>
      </c>
    </row>
    <row r="338" spans="1:28" x14ac:dyDescent="0.25">
      <c r="A338" t="s">
        <v>45</v>
      </c>
      <c r="B338" t="s">
        <v>1842</v>
      </c>
      <c r="C338" t="s">
        <v>1843</v>
      </c>
      <c r="D338" t="s">
        <v>346</v>
      </c>
      <c r="E338" t="s">
        <v>347</v>
      </c>
      <c r="F338" t="s">
        <v>347</v>
      </c>
      <c r="G338" t="s">
        <v>581</v>
      </c>
      <c r="H338" t="s">
        <v>582</v>
      </c>
      <c r="I338" t="s">
        <v>935</v>
      </c>
      <c r="J338" t="s">
        <v>936</v>
      </c>
      <c r="K338">
        <v>282.3</v>
      </c>
      <c r="L338">
        <v>17.5</v>
      </c>
      <c r="M338" t="s">
        <v>1003</v>
      </c>
      <c r="N338">
        <v>32.584899999999998</v>
      </c>
      <c r="O338">
        <v>-106.6032</v>
      </c>
      <c r="P338">
        <v>1469</v>
      </c>
      <c r="Q338">
        <v>11</v>
      </c>
      <c r="R338">
        <v>2010</v>
      </c>
      <c r="S338">
        <v>2020</v>
      </c>
      <c r="T338" t="s">
        <v>1844</v>
      </c>
      <c r="U338" t="s">
        <v>1845</v>
      </c>
      <c r="V338">
        <v>2010</v>
      </c>
      <c r="W338">
        <v>2020</v>
      </c>
      <c r="X338" t="s">
        <v>1844</v>
      </c>
      <c r="Y338" t="s">
        <v>1846</v>
      </c>
      <c r="Z338">
        <v>2010</v>
      </c>
      <c r="AB338" t="s">
        <v>1847</v>
      </c>
    </row>
    <row r="339" spans="1:28" x14ac:dyDescent="0.25">
      <c r="A339" t="s">
        <v>1848</v>
      </c>
      <c r="B339" t="s">
        <v>1849</v>
      </c>
      <c r="C339" t="s">
        <v>1850</v>
      </c>
      <c r="D339" t="s">
        <v>346</v>
      </c>
      <c r="E339" t="s">
        <v>348</v>
      </c>
      <c r="F339" t="s">
        <v>348</v>
      </c>
      <c r="G339" t="s">
        <v>761</v>
      </c>
      <c r="H339" t="s">
        <v>762</v>
      </c>
      <c r="I339" t="s">
        <v>935</v>
      </c>
      <c r="J339" t="s">
        <v>936</v>
      </c>
      <c r="K339">
        <v>245.1</v>
      </c>
      <c r="L339">
        <v>14.7</v>
      </c>
      <c r="M339" t="s">
        <v>1003</v>
      </c>
      <c r="N339">
        <v>32.712299999999999</v>
      </c>
      <c r="O339">
        <v>-106.83029999999999</v>
      </c>
      <c r="Q339">
        <v>0</v>
      </c>
      <c r="Z339">
        <v>2021</v>
      </c>
    </row>
    <row r="340" spans="1:28" x14ac:dyDescent="0.25">
      <c r="A340" t="s">
        <v>1851</v>
      </c>
      <c r="B340" t="s">
        <v>1852</v>
      </c>
      <c r="C340" t="s">
        <v>1853</v>
      </c>
      <c r="D340" t="s">
        <v>346</v>
      </c>
      <c r="E340" t="s">
        <v>347</v>
      </c>
      <c r="F340" t="s">
        <v>348</v>
      </c>
      <c r="G340" t="s">
        <v>367</v>
      </c>
      <c r="H340" t="s">
        <v>368</v>
      </c>
      <c r="I340" t="s">
        <v>360</v>
      </c>
      <c r="J340" t="s">
        <v>361</v>
      </c>
      <c r="K340">
        <v>1095.5</v>
      </c>
      <c r="L340">
        <v>13.2</v>
      </c>
      <c r="M340" t="s">
        <v>1003</v>
      </c>
      <c r="N340">
        <v>39.678899999999999</v>
      </c>
      <c r="O340">
        <v>-80.164599999999993</v>
      </c>
      <c r="P340">
        <v>384.048</v>
      </c>
      <c r="Q340">
        <v>3</v>
      </c>
      <c r="R340">
        <v>2017</v>
      </c>
      <c r="S340">
        <v>2019</v>
      </c>
      <c r="T340" t="s">
        <v>1792</v>
      </c>
      <c r="U340" t="s">
        <v>1854</v>
      </c>
      <c r="Z340">
        <v>2017</v>
      </c>
      <c r="AA340">
        <v>2018</v>
      </c>
      <c r="AB340" t="s">
        <v>1855</v>
      </c>
    </row>
    <row r="341" spans="1:28" x14ac:dyDescent="0.25">
      <c r="A341" t="s">
        <v>1856</v>
      </c>
      <c r="B341" t="s">
        <v>1857</v>
      </c>
      <c r="C341" t="s">
        <v>1858</v>
      </c>
      <c r="D341" t="s">
        <v>375</v>
      </c>
      <c r="E341" t="s">
        <v>348</v>
      </c>
      <c r="F341" t="s">
        <v>348</v>
      </c>
      <c r="G341" t="s">
        <v>349</v>
      </c>
      <c r="H341" t="s">
        <v>350</v>
      </c>
      <c r="I341" t="s">
        <v>1175</v>
      </c>
      <c r="J341" t="s">
        <v>1176</v>
      </c>
      <c r="K341">
        <v>879</v>
      </c>
      <c r="L341">
        <v>6.4</v>
      </c>
      <c r="M341" t="s">
        <v>1003</v>
      </c>
      <c r="N341">
        <v>44.688600000000001</v>
      </c>
      <c r="O341">
        <v>-93.072800000000001</v>
      </c>
      <c r="P341">
        <v>290</v>
      </c>
      <c r="Q341">
        <v>0</v>
      </c>
      <c r="Z341">
        <v>2007</v>
      </c>
    </row>
    <row r="342" spans="1:28" x14ac:dyDescent="0.25">
      <c r="A342" t="s">
        <v>1859</v>
      </c>
      <c r="B342" t="s">
        <v>1860</v>
      </c>
      <c r="C342" t="s">
        <v>1861</v>
      </c>
      <c r="D342" t="s">
        <v>346</v>
      </c>
      <c r="E342" t="s">
        <v>348</v>
      </c>
      <c r="F342" t="s">
        <v>348</v>
      </c>
      <c r="G342" t="s">
        <v>367</v>
      </c>
      <c r="H342" t="s">
        <v>368</v>
      </c>
      <c r="I342" t="s">
        <v>360</v>
      </c>
      <c r="J342" t="s">
        <v>361</v>
      </c>
      <c r="K342">
        <v>867</v>
      </c>
      <c r="L342">
        <v>12.77</v>
      </c>
      <c r="M342" t="s">
        <v>1003</v>
      </c>
      <c r="N342">
        <v>39.0745</v>
      </c>
      <c r="O342">
        <v>-96.595100000000002</v>
      </c>
      <c r="P342">
        <v>330</v>
      </c>
      <c r="Q342">
        <v>0</v>
      </c>
      <c r="Z342">
        <v>2006</v>
      </c>
    </row>
    <row r="343" spans="1:28" x14ac:dyDescent="0.25">
      <c r="A343" t="s">
        <v>46</v>
      </c>
      <c r="B343" t="s">
        <v>1862</v>
      </c>
      <c r="C343" t="s">
        <v>1861</v>
      </c>
      <c r="D343" t="s">
        <v>346</v>
      </c>
      <c r="E343" t="s">
        <v>347</v>
      </c>
      <c r="F343" t="s">
        <v>347</v>
      </c>
      <c r="G343" t="s">
        <v>367</v>
      </c>
      <c r="H343" t="s">
        <v>368</v>
      </c>
      <c r="I343" t="s">
        <v>360</v>
      </c>
      <c r="J343" t="s">
        <v>361</v>
      </c>
      <c r="K343">
        <v>1014</v>
      </c>
      <c r="L343">
        <v>12</v>
      </c>
      <c r="M343" t="s">
        <v>1003</v>
      </c>
      <c r="N343">
        <v>39.056100000000001</v>
      </c>
      <c r="O343">
        <v>-95.190700000000007</v>
      </c>
      <c r="P343">
        <v>310</v>
      </c>
      <c r="Q343">
        <v>13</v>
      </c>
      <c r="R343">
        <v>2007</v>
      </c>
      <c r="S343">
        <v>2019</v>
      </c>
      <c r="T343" t="s">
        <v>1863</v>
      </c>
      <c r="U343" t="s">
        <v>1864</v>
      </c>
      <c r="V343">
        <v>2007</v>
      </c>
      <c r="W343">
        <v>2019</v>
      </c>
      <c r="X343" t="s">
        <v>1863</v>
      </c>
      <c r="Y343" t="s">
        <v>1865</v>
      </c>
      <c r="Z343">
        <v>2007</v>
      </c>
      <c r="AB343" t="s">
        <v>1866</v>
      </c>
    </row>
    <row r="344" spans="1:28" x14ac:dyDescent="0.25">
      <c r="A344" t="s">
        <v>1867</v>
      </c>
      <c r="B344" t="s">
        <v>1868</v>
      </c>
      <c r="C344" t="s">
        <v>1869</v>
      </c>
      <c r="D344" t="s">
        <v>375</v>
      </c>
      <c r="E344" t="s">
        <v>348</v>
      </c>
      <c r="F344" t="s">
        <v>348</v>
      </c>
      <c r="G344" t="s">
        <v>367</v>
      </c>
      <c r="H344" t="s">
        <v>368</v>
      </c>
      <c r="I344" t="s">
        <v>481</v>
      </c>
      <c r="J344" t="s">
        <v>482</v>
      </c>
      <c r="K344">
        <v>1170</v>
      </c>
      <c r="L344">
        <v>8.9</v>
      </c>
      <c r="M344" t="s">
        <v>1003</v>
      </c>
      <c r="N344">
        <v>43.171700000000001</v>
      </c>
      <c r="O344">
        <v>-70.925899999999999</v>
      </c>
      <c r="P344">
        <v>35</v>
      </c>
      <c r="Q344">
        <v>0</v>
      </c>
      <c r="Z344">
        <v>2014</v>
      </c>
      <c r="AA344">
        <v>2019</v>
      </c>
    </row>
    <row r="345" spans="1:28" x14ac:dyDescent="0.25">
      <c r="A345" t="s">
        <v>1870</v>
      </c>
      <c r="B345" t="s">
        <v>1871</v>
      </c>
      <c r="C345" t="s">
        <v>1376</v>
      </c>
      <c r="D345" t="s">
        <v>346</v>
      </c>
      <c r="E345" t="s">
        <v>347</v>
      </c>
      <c r="F345" t="s">
        <v>348</v>
      </c>
      <c r="G345" t="s">
        <v>349</v>
      </c>
      <c r="H345" t="s">
        <v>350</v>
      </c>
      <c r="I345" t="s">
        <v>1175</v>
      </c>
      <c r="J345" t="s">
        <v>1176</v>
      </c>
      <c r="K345">
        <v>1027</v>
      </c>
      <c r="L345">
        <v>9.9</v>
      </c>
      <c r="M345" t="s">
        <v>1003</v>
      </c>
      <c r="N345">
        <v>42.484699999999997</v>
      </c>
      <c r="O345">
        <v>-85.4422</v>
      </c>
      <c r="P345">
        <v>264.60000000000002</v>
      </c>
      <c r="Q345">
        <v>13</v>
      </c>
      <c r="R345">
        <v>2009</v>
      </c>
      <c r="S345">
        <v>2021</v>
      </c>
      <c r="T345" t="s">
        <v>1872</v>
      </c>
      <c r="U345" t="s">
        <v>1873</v>
      </c>
      <c r="Z345">
        <v>2009</v>
      </c>
      <c r="AB345" t="s">
        <v>1874</v>
      </c>
    </row>
    <row r="346" spans="1:28" x14ac:dyDescent="0.25">
      <c r="A346" t="s">
        <v>1875</v>
      </c>
      <c r="B346" t="s">
        <v>1876</v>
      </c>
      <c r="C346" t="s">
        <v>1376</v>
      </c>
      <c r="D346" t="s">
        <v>346</v>
      </c>
      <c r="E346" t="s">
        <v>347</v>
      </c>
      <c r="F346" t="s">
        <v>348</v>
      </c>
      <c r="G346" t="s">
        <v>367</v>
      </c>
      <c r="H346" t="s">
        <v>368</v>
      </c>
      <c r="I346" t="s">
        <v>1175</v>
      </c>
      <c r="J346" t="s">
        <v>1176</v>
      </c>
      <c r="K346">
        <v>1027</v>
      </c>
      <c r="L346">
        <v>9.9</v>
      </c>
      <c r="M346" t="s">
        <v>1003</v>
      </c>
      <c r="N346">
        <v>42.476799999999997</v>
      </c>
      <c r="O346">
        <v>-85.446799999999996</v>
      </c>
      <c r="P346">
        <v>258.3</v>
      </c>
      <c r="Q346">
        <v>13</v>
      </c>
      <c r="R346">
        <v>2009</v>
      </c>
      <c r="S346">
        <v>2021</v>
      </c>
      <c r="T346" t="s">
        <v>1872</v>
      </c>
      <c r="U346" t="s">
        <v>1877</v>
      </c>
      <c r="Z346">
        <v>2009</v>
      </c>
      <c r="AB346" t="s">
        <v>1874</v>
      </c>
    </row>
    <row r="347" spans="1:28" x14ac:dyDescent="0.25">
      <c r="A347" t="s">
        <v>1878</v>
      </c>
      <c r="B347" t="s">
        <v>1879</v>
      </c>
      <c r="C347" t="s">
        <v>1376</v>
      </c>
      <c r="D347" t="s">
        <v>346</v>
      </c>
      <c r="E347" t="s">
        <v>347</v>
      </c>
      <c r="F347" t="s">
        <v>348</v>
      </c>
      <c r="G347" t="s">
        <v>367</v>
      </c>
      <c r="H347" t="s">
        <v>368</v>
      </c>
      <c r="I347" t="s">
        <v>1175</v>
      </c>
      <c r="J347" t="s">
        <v>1176</v>
      </c>
      <c r="K347">
        <v>1027</v>
      </c>
      <c r="L347">
        <v>9.9</v>
      </c>
      <c r="M347" t="s">
        <v>1003</v>
      </c>
      <c r="N347">
        <v>42.473500000000001</v>
      </c>
      <c r="O347">
        <v>-85.447299999999998</v>
      </c>
      <c r="P347">
        <v>264.7</v>
      </c>
      <c r="Q347">
        <v>13</v>
      </c>
      <c r="R347">
        <v>2009</v>
      </c>
      <c r="S347">
        <v>2021</v>
      </c>
      <c r="T347" t="s">
        <v>1872</v>
      </c>
      <c r="U347" t="s">
        <v>1880</v>
      </c>
      <c r="Z347">
        <v>2009</v>
      </c>
      <c r="AB347" t="s">
        <v>1874</v>
      </c>
    </row>
    <row r="348" spans="1:28" x14ac:dyDescent="0.25">
      <c r="A348" t="s">
        <v>47</v>
      </c>
      <c r="B348" t="s">
        <v>1881</v>
      </c>
      <c r="C348" t="s">
        <v>1861</v>
      </c>
      <c r="D348" t="s">
        <v>346</v>
      </c>
      <c r="E348" t="s">
        <v>347</v>
      </c>
      <c r="F348" t="s">
        <v>347</v>
      </c>
      <c r="G348" t="s">
        <v>367</v>
      </c>
      <c r="H348" t="s">
        <v>368</v>
      </c>
      <c r="I348" t="s">
        <v>360</v>
      </c>
      <c r="J348" t="s">
        <v>361</v>
      </c>
      <c r="K348">
        <v>812</v>
      </c>
      <c r="L348">
        <v>12</v>
      </c>
      <c r="M348" t="s">
        <v>1003</v>
      </c>
      <c r="N348">
        <v>38.774500000000003</v>
      </c>
      <c r="O348">
        <v>-97.568399999999997</v>
      </c>
      <c r="P348">
        <v>373</v>
      </c>
      <c r="Q348">
        <v>8</v>
      </c>
      <c r="R348">
        <v>2012</v>
      </c>
      <c r="S348">
        <v>2019</v>
      </c>
      <c r="T348" t="s">
        <v>1882</v>
      </c>
      <c r="U348" t="s">
        <v>1883</v>
      </c>
      <c r="V348">
        <v>2012</v>
      </c>
      <c r="W348">
        <v>2019</v>
      </c>
      <c r="X348" t="s">
        <v>1882</v>
      </c>
      <c r="Y348" t="s">
        <v>1884</v>
      </c>
      <c r="Z348">
        <v>2012</v>
      </c>
      <c r="AB348" t="s">
        <v>1885</v>
      </c>
    </row>
    <row r="349" spans="1:28" x14ac:dyDescent="0.25">
      <c r="A349" t="s">
        <v>1886</v>
      </c>
      <c r="B349" t="s">
        <v>1887</v>
      </c>
      <c r="C349" t="s">
        <v>1376</v>
      </c>
      <c r="D349" t="s">
        <v>346</v>
      </c>
      <c r="E349" t="s">
        <v>347</v>
      </c>
      <c r="F349" t="s">
        <v>348</v>
      </c>
      <c r="G349" t="s">
        <v>349</v>
      </c>
      <c r="H349" t="s">
        <v>350</v>
      </c>
      <c r="I349" t="s">
        <v>1175</v>
      </c>
      <c r="J349" t="s">
        <v>1176</v>
      </c>
      <c r="K349">
        <v>1027</v>
      </c>
      <c r="L349">
        <v>9.9</v>
      </c>
      <c r="M349" t="s">
        <v>1003</v>
      </c>
      <c r="N349">
        <v>42.437600000000003</v>
      </c>
      <c r="O349">
        <v>-85.328699999999998</v>
      </c>
      <c r="P349">
        <v>258.10000000000002</v>
      </c>
      <c r="Q349">
        <v>13</v>
      </c>
      <c r="R349">
        <v>2009</v>
      </c>
      <c r="S349">
        <v>2021</v>
      </c>
      <c r="T349" t="s">
        <v>1872</v>
      </c>
      <c r="U349" t="s">
        <v>1888</v>
      </c>
      <c r="Z349">
        <v>2009</v>
      </c>
      <c r="AB349" t="s">
        <v>1874</v>
      </c>
    </row>
    <row r="350" spans="1:28" x14ac:dyDescent="0.25">
      <c r="A350" t="s">
        <v>1889</v>
      </c>
      <c r="B350" t="s">
        <v>1890</v>
      </c>
      <c r="C350" t="s">
        <v>1376</v>
      </c>
      <c r="D350" t="s">
        <v>346</v>
      </c>
      <c r="E350" t="s">
        <v>347</v>
      </c>
      <c r="F350" t="s">
        <v>348</v>
      </c>
      <c r="G350" t="s">
        <v>367</v>
      </c>
      <c r="H350" t="s">
        <v>368</v>
      </c>
      <c r="I350" t="s">
        <v>1175</v>
      </c>
      <c r="J350" t="s">
        <v>1176</v>
      </c>
      <c r="K350">
        <v>1027</v>
      </c>
      <c r="L350">
        <v>9.9</v>
      </c>
      <c r="M350" t="s">
        <v>1003</v>
      </c>
      <c r="N350">
        <v>42.444099999999999</v>
      </c>
      <c r="O350">
        <v>-85.309799999999996</v>
      </c>
      <c r="P350">
        <v>259.10000000000002</v>
      </c>
      <c r="Q350">
        <v>13</v>
      </c>
      <c r="R350">
        <v>2009</v>
      </c>
      <c r="S350">
        <v>2021</v>
      </c>
      <c r="T350" t="s">
        <v>1872</v>
      </c>
      <c r="U350" t="s">
        <v>1891</v>
      </c>
      <c r="Z350">
        <v>2009</v>
      </c>
      <c r="AB350" t="s">
        <v>1874</v>
      </c>
    </row>
    <row r="351" spans="1:28" x14ac:dyDescent="0.25">
      <c r="A351" t="s">
        <v>1892</v>
      </c>
      <c r="B351" t="s">
        <v>1893</v>
      </c>
      <c r="C351" t="s">
        <v>1376</v>
      </c>
      <c r="D351" t="s">
        <v>346</v>
      </c>
      <c r="E351" t="s">
        <v>347</v>
      </c>
      <c r="F351" t="s">
        <v>348</v>
      </c>
      <c r="G351" t="s">
        <v>367</v>
      </c>
      <c r="H351" t="s">
        <v>368</v>
      </c>
      <c r="I351" t="s">
        <v>1175</v>
      </c>
      <c r="J351" t="s">
        <v>1176</v>
      </c>
      <c r="K351">
        <v>1027</v>
      </c>
      <c r="L351">
        <v>9.9</v>
      </c>
      <c r="M351" t="s">
        <v>1003</v>
      </c>
      <c r="N351">
        <v>42.446399999999997</v>
      </c>
      <c r="O351">
        <v>-85.310500000000005</v>
      </c>
      <c r="P351">
        <v>262.10000000000002</v>
      </c>
      <c r="Q351">
        <v>13</v>
      </c>
      <c r="R351">
        <v>2009</v>
      </c>
      <c r="S351">
        <v>2021</v>
      </c>
      <c r="T351" t="s">
        <v>1872</v>
      </c>
      <c r="U351" t="s">
        <v>1894</v>
      </c>
      <c r="Z351">
        <v>2009</v>
      </c>
      <c r="AB351" t="s">
        <v>1874</v>
      </c>
    </row>
    <row r="352" spans="1:28" x14ac:dyDescent="0.25">
      <c r="A352" t="s">
        <v>1895</v>
      </c>
      <c r="B352" t="s">
        <v>1896</v>
      </c>
      <c r="C352" t="s">
        <v>1376</v>
      </c>
      <c r="D352" t="s">
        <v>346</v>
      </c>
      <c r="E352" t="s">
        <v>347</v>
      </c>
      <c r="F352" t="s">
        <v>348</v>
      </c>
      <c r="G352" t="s">
        <v>367</v>
      </c>
      <c r="H352" t="s">
        <v>368</v>
      </c>
      <c r="I352" t="s">
        <v>1175</v>
      </c>
      <c r="J352" t="s">
        <v>1176</v>
      </c>
      <c r="K352">
        <v>1027</v>
      </c>
      <c r="L352">
        <v>9.9</v>
      </c>
      <c r="M352" t="s">
        <v>1003</v>
      </c>
      <c r="N352">
        <v>42.442300000000003</v>
      </c>
      <c r="O352">
        <v>-85.330100000000002</v>
      </c>
      <c r="P352">
        <v>246.3</v>
      </c>
      <c r="Q352">
        <v>13</v>
      </c>
      <c r="R352">
        <v>2009</v>
      </c>
      <c r="S352">
        <v>2021</v>
      </c>
      <c r="T352" t="s">
        <v>1872</v>
      </c>
      <c r="U352" t="s">
        <v>1897</v>
      </c>
      <c r="Z352">
        <v>2009</v>
      </c>
      <c r="AB352" t="s">
        <v>1898</v>
      </c>
    </row>
    <row r="353" spans="1:28" x14ac:dyDescent="0.25">
      <c r="A353" t="s">
        <v>48</v>
      </c>
      <c r="B353" t="s">
        <v>1899</v>
      </c>
      <c r="C353" t="s">
        <v>1861</v>
      </c>
      <c r="D353" t="s">
        <v>346</v>
      </c>
      <c r="E353" t="s">
        <v>347</v>
      </c>
      <c r="F353" t="s">
        <v>347</v>
      </c>
      <c r="G353" t="s">
        <v>367</v>
      </c>
      <c r="H353" t="s">
        <v>368</v>
      </c>
      <c r="I353" t="s">
        <v>360</v>
      </c>
      <c r="J353" t="s">
        <v>361</v>
      </c>
      <c r="K353">
        <v>867</v>
      </c>
      <c r="L353">
        <v>12.77</v>
      </c>
      <c r="M353" t="s">
        <v>1003</v>
      </c>
      <c r="N353">
        <v>39.0824</v>
      </c>
      <c r="O353">
        <v>-96.560299999999998</v>
      </c>
      <c r="P353">
        <v>417</v>
      </c>
      <c r="Q353">
        <v>16</v>
      </c>
      <c r="R353">
        <v>2004</v>
      </c>
      <c r="S353">
        <v>2019</v>
      </c>
      <c r="T353" t="s">
        <v>1900</v>
      </c>
      <c r="U353" t="s">
        <v>1901</v>
      </c>
      <c r="V353">
        <v>2004</v>
      </c>
      <c r="W353">
        <v>2019</v>
      </c>
      <c r="X353" t="s">
        <v>1900</v>
      </c>
      <c r="Y353" t="s">
        <v>1902</v>
      </c>
      <c r="Z353">
        <v>2006</v>
      </c>
      <c r="AB353" t="s">
        <v>1903</v>
      </c>
    </row>
    <row r="354" spans="1:28" x14ac:dyDescent="0.25">
      <c r="A354" t="s">
        <v>1904</v>
      </c>
      <c r="B354" t="s">
        <v>1905</v>
      </c>
      <c r="C354" t="s">
        <v>1906</v>
      </c>
      <c r="D354" t="s">
        <v>346</v>
      </c>
      <c r="E354" t="s">
        <v>347</v>
      </c>
      <c r="F354" t="s">
        <v>348</v>
      </c>
      <c r="G354" t="s">
        <v>376</v>
      </c>
      <c r="H354" t="s">
        <v>377</v>
      </c>
      <c r="I354" t="s">
        <v>539</v>
      </c>
      <c r="J354" t="s">
        <v>540</v>
      </c>
      <c r="K354">
        <v>375.8</v>
      </c>
      <c r="L354">
        <v>1.76</v>
      </c>
      <c r="M354" t="s">
        <v>1003</v>
      </c>
      <c r="N354">
        <v>60.538200000000003</v>
      </c>
      <c r="O354">
        <v>-150.5061</v>
      </c>
      <c r="P354">
        <v>100.6</v>
      </c>
      <c r="Q354">
        <v>2</v>
      </c>
      <c r="R354">
        <v>2021</v>
      </c>
      <c r="S354">
        <v>2022</v>
      </c>
      <c r="T354" t="s">
        <v>1907</v>
      </c>
      <c r="U354" t="s">
        <v>1908</v>
      </c>
      <c r="Z354">
        <v>2021</v>
      </c>
      <c r="AB354" t="s">
        <v>1909</v>
      </c>
    </row>
    <row r="355" spans="1:28" x14ac:dyDescent="0.25">
      <c r="A355" t="s">
        <v>1910</v>
      </c>
      <c r="B355" t="s">
        <v>1911</v>
      </c>
      <c r="C355" t="s">
        <v>1912</v>
      </c>
      <c r="D355" t="s">
        <v>346</v>
      </c>
      <c r="E355" t="s">
        <v>347</v>
      </c>
      <c r="F355" t="s">
        <v>347</v>
      </c>
      <c r="G355" t="s">
        <v>513</v>
      </c>
      <c r="H355" t="s">
        <v>514</v>
      </c>
      <c r="I355" t="s">
        <v>435</v>
      </c>
      <c r="J355" t="s">
        <v>436</v>
      </c>
      <c r="K355">
        <v>1266</v>
      </c>
      <c r="L355">
        <v>21.9</v>
      </c>
      <c r="M355" t="s">
        <v>1003</v>
      </c>
      <c r="N355">
        <v>28.458300000000001</v>
      </c>
      <c r="O355">
        <v>-80.670900000000003</v>
      </c>
      <c r="P355">
        <v>1</v>
      </c>
      <c r="Q355">
        <v>2</v>
      </c>
      <c r="R355">
        <v>2002</v>
      </c>
      <c r="S355">
        <v>2003</v>
      </c>
      <c r="T355" t="s">
        <v>1913</v>
      </c>
      <c r="U355" t="s">
        <v>1914</v>
      </c>
      <c r="V355">
        <v>2002</v>
      </c>
      <c r="W355">
        <v>2003</v>
      </c>
      <c r="X355" t="s">
        <v>1913</v>
      </c>
      <c r="Y355" t="s">
        <v>1915</v>
      </c>
      <c r="Z355">
        <v>2002</v>
      </c>
      <c r="AA355">
        <v>2006</v>
      </c>
      <c r="AB355" t="s">
        <v>1916</v>
      </c>
    </row>
    <row r="356" spans="1:28" x14ac:dyDescent="0.25">
      <c r="A356" t="s">
        <v>1917</v>
      </c>
      <c r="B356" t="s">
        <v>1918</v>
      </c>
      <c r="C356" t="s">
        <v>1912</v>
      </c>
      <c r="D356" t="s">
        <v>346</v>
      </c>
      <c r="E356" t="s">
        <v>347</v>
      </c>
      <c r="F356" t="s">
        <v>347</v>
      </c>
      <c r="G356" t="s">
        <v>925</v>
      </c>
      <c r="H356" t="s">
        <v>926</v>
      </c>
      <c r="I356" t="s">
        <v>435</v>
      </c>
      <c r="J356" t="s">
        <v>436</v>
      </c>
      <c r="K356">
        <v>1294</v>
      </c>
      <c r="L356">
        <v>21.66</v>
      </c>
      <c r="M356" t="s">
        <v>1003</v>
      </c>
      <c r="N356">
        <v>28.608599999999999</v>
      </c>
      <c r="O356">
        <v>-80.671499999999995</v>
      </c>
      <c r="P356">
        <v>3</v>
      </c>
      <c r="Q356">
        <v>8</v>
      </c>
      <c r="R356">
        <v>1999</v>
      </c>
      <c r="S356">
        <v>2006</v>
      </c>
      <c r="T356" t="s">
        <v>1120</v>
      </c>
      <c r="U356" t="s">
        <v>1919</v>
      </c>
      <c r="V356">
        <v>1999</v>
      </c>
      <c r="W356">
        <v>2006</v>
      </c>
      <c r="X356" t="s">
        <v>1120</v>
      </c>
      <c r="Y356" t="s">
        <v>1920</v>
      </c>
      <c r="Z356">
        <v>2000</v>
      </c>
      <c r="AA356">
        <v>2007</v>
      </c>
      <c r="AB356" t="s">
        <v>1921</v>
      </c>
    </row>
    <row r="357" spans="1:28" x14ac:dyDescent="0.25">
      <c r="A357" t="s">
        <v>49</v>
      </c>
      <c r="B357" t="s">
        <v>1922</v>
      </c>
      <c r="C357" t="s">
        <v>1912</v>
      </c>
      <c r="D357" t="s">
        <v>346</v>
      </c>
      <c r="E357" t="s">
        <v>347</v>
      </c>
      <c r="F357" t="s">
        <v>347</v>
      </c>
      <c r="G357" t="s">
        <v>376</v>
      </c>
      <c r="H357" t="s">
        <v>377</v>
      </c>
      <c r="I357" t="s">
        <v>360</v>
      </c>
      <c r="J357" t="s">
        <v>361</v>
      </c>
      <c r="K357">
        <v>1340</v>
      </c>
      <c r="L357">
        <v>22.3</v>
      </c>
      <c r="M357" t="s">
        <v>1003</v>
      </c>
      <c r="N357">
        <v>28.708400000000001</v>
      </c>
      <c r="O357">
        <v>-80.742699999999999</v>
      </c>
      <c r="P357">
        <v>0</v>
      </c>
      <c r="Q357">
        <v>2</v>
      </c>
      <c r="R357">
        <v>2018</v>
      </c>
      <c r="S357">
        <v>2019</v>
      </c>
      <c r="T357" t="s">
        <v>985</v>
      </c>
      <c r="U357" t="s">
        <v>1923</v>
      </c>
      <c r="V357">
        <v>2018</v>
      </c>
      <c r="W357">
        <v>2018</v>
      </c>
      <c r="X357">
        <v>2018</v>
      </c>
      <c r="Y357" t="s">
        <v>1924</v>
      </c>
      <c r="Z357">
        <v>2017</v>
      </c>
      <c r="AA357">
        <v>2020</v>
      </c>
      <c r="AB357" t="s">
        <v>1925</v>
      </c>
    </row>
    <row r="358" spans="1:28" x14ac:dyDescent="0.25">
      <c r="A358" t="s">
        <v>1926</v>
      </c>
      <c r="B358" t="s">
        <v>1927</v>
      </c>
      <c r="C358" t="s">
        <v>1928</v>
      </c>
      <c r="D358" t="s">
        <v>375</v>
      </c>
      <c r="E358" t="s">
        <v>347</v>
      </c>
      <c r="F358" t="s">
        <v>348</v>
      </c>
      <c r="G358" t="s">
        <v>376</v>
      </c>
      <c r="H358" t="s">
        <v>377</v>
      </c>
      <c r="I358" t="s">
        <v>435</v>
      </c>
      <c r="J358" t="s">
        <v>436</v>
      </c>
      <c r="K358">
        <v>1340</v>
      </c>
      <c r="L358">
        <v>22.3</v>
      </c>
      <c r="M358" t="s">
        <v>1003</v>
      </c>
      <c r="N358">
        <v>28.6</v>
      </c>
      <c r="O358">
        <v>-80.720699999999994</v>
      </c>
      <c r="P358">
        <v>0.5</v>
      </c>
      <c r="Q358">
        <v>6</v>
      </c>
      <c r="R358">
        <v>2017</v>
      </c>
      <c r="S358">
        <v>2022</v>
      </c>
      <c r="T358" t="s">
        <v>1929</v>
      </c>
      <c r="U358" t="s">
        <v>1930</v>
      </c>
      <c r="Z358">
        <v>2017</v>
      </c>
      <c r="AB358" t="s">
        <v>1931</v>
      </c>
    </row>
    <row r="359" spans="1:28" x14ac:dyDescent="0.25">
      <c r="A359" t="s">
        <v>1932</v>
      </c>
      <c r="B359" t="s">
        <v>1933</v>
      </c>
      <c r="C359" t="s">
        <v>1934</v>
      </c>
      <c r="D359" t="s">
        <v>346</v>
      </c>
      <c r="E359" t="s">
        <v>348</v>
      </c>
      <c r="F359" t="s">
        <v>348</v>
      </c>
      <c r="G359" t="s">
        <v>933</v>
      </c>
      <c r="H359" t="s">
        <v>934</v>
      </c>
      <c r="I359" t="s">
        <v>1175</v>
      </c>
      <c r="J359" t="s">
        <v>1176</v>
      </c>
      <c r="K359">
        <v>777</v>
      </c>
      <c r="L359">
        <v>7.9</v>
      </c>
      <c r="M359" t="s">
        <v>1003</v>
      </c>
      <c r="N359">
        <v>44.998399999999997</v>
      </c>
      <c r="O359">
        <v>-93.188400000000001</v>
      </c>
      <c r="P359">
        <v>301</v>
      </c>
      <c r="Q359">
        <v>0</v>
      </c>
      <c r="Z359">
        <v>2006</v>
      </c>
      <c r="AA359">
        <v>2009</v>
      </c>
    </row>
    <row r="360" spans="1:28" x14ac:dyDescent="0.25">
      <c r="A360" t="s">
        <v>1935</v>
      </c>
      <c r="B360" t="s">
        <v>1936</v>
      </c>
      <c r="C360" t="s">
        <v>1934</v>
      </c>
      <c r="D360" t="s">
        <v>346</v>
      </c>
      <c r="E360" t="s">
        <v>347</v>
      </c>
      <c r="F360" t="s">
        <v>348</v>
      </c>
      <c r="G360" t="s">
        <v>367</v>
      </c>
      <c r="H360" t="s">
        <v>368</v>
      </c>
      <c r="I360" t="s">
        <v>1175</v>
      </c>
      <c r="J360" t="s">
        <v>1176</v>
      </c>
      <c r="K360">
        <v>777</v>
      </c>
      <c r="L360">
        <v>7.9</v>
      </c>
      <c r="M360" t="s">
        <v>1003</v>
      </c>
      <c r="N360">
        <v>44.994999999999997</v>
      </c>
      <c r="O360">
        <v>-93.186300000000003</v>
      </c>
      <c r="P360">
        <v>301</v>
      </c>
      <c r="Q360">
        <v>5</v>
      </c>
      <c r="R360">
        <v>2005</v>
      </c>
      <c r="S360">
        <v>2009</v>
      </c>
      <c r="T360" t="s">
        <v>1937</v>
      </c>
      <c r="U360" t="s">
        <v>1938</v>
      </c>
      <c r="Z360">
        <v>2005</v>
      </c>
      <c r="AA360">
        <v>2009</v>
      </c>
      <c r="AB360" t="s">
        <v>720</v>
      </c>
    </row>
    <row r="361" spans="1:28" x14ac:dyDescent="0.25">
      <c r="A361" t="s">
        <v>1939</v>
      </c>
      <c r="B361" t="s">
        <v>1940</v>
      </c>
      <c r="C361" t="s">
        <v>1941</v>
      </c>
      <c r="D361" t="s">
        <v>346</v>
      </c>
      <c r="E361" t="s">
        <v>348</v>
      </c>
      <c r="F361" t="s">
        <v>348</v>
      </c>
      <c r="G361" t="s">
        <v>349</v>
      </c>
      <c r="H361" t="s">
        <v>350</v>
      </c>
      <c r="I361" t="s">
        <v>360</v>
      </c>
      <c r="J361" t="s">
        <v>361</v>
      </c>
      <c r="K361">
        <v>964</v>
      </c>
      <c r="L361">
        <v>11.78</v>
      </c>
      <c r="M361" t="s">
        <v>1003</v>
      </c>
      <c r="N361">
        <v>39.344700000000003</v>
      </c>
      <c r="O361">
        <v>-77.885900000000007</v>
      </c>
      <c r="P361">
        <v>185</v>
      </c>
      <c r="Q361">
        <v>0</v>
      </c>
    </row>
    <row r="362" spans="1:28" x14ac:dyDescent="0.25">
      <c r="A362" t="s">
        <v>1942</v>
      </c>
      <c r="B362" t="s">
        <v>1943</v>
      </c>
      <c r="C362" t="s">
        <v>1944</v>
      </c>
      <c r="D362" t="s">
        <v>346</v>
      </c>
      <c r="E362" t="s">
        <v>347</v>
      </c>
      <c r="F362" t="s">
        <v>348</v>
      </c>
      <c r="G362" t="s">
        <v>376</v>
      </c>
      <c r="H362" t="s">
        <v>377</v>
      </c>
      <c r="I362" t="s">
        <v>360</v>
      </c>
      <c r="J362" t="s">
        <v>361</v>
      </c>
      <c r="K362">
        <v>1625</v>
      </c>
      <c r="L362">
        <v>20.7</v>
      </c>
      <c r="M362" t="s">
        <v>1003</v>
      </c>
      <c r="N362">
        <v>29.501300000000001</v>
      </c>
      <c r="O362">
        <v>-90.444900000000004</v>
      </c>
      <c r="P362">
        <v>0</v>
      </c>
      <c r="Q362">
        <v>2</v>
      </c>
      <c r="R362">
        <v>2011</v>
      </c>
      <c r="S362">
        <v>2012</v>
      </c>
      <c r="T362" t="s">
        <v>1945</v>
      </c>
      <c r="U362" t="s">
        <v>1946</v>
      </c>
      <c r="Z362">
        <v>2011</v>
      </c>
      <c r="AA362">
        <v>2012</v>
      </c>
      <c r="AB362" t="s">
        <v>1947</v>
      </c>
    </row>
    <row r="363" spans="1:28" x14ac:dyDescent="0.25">
      <c r="A363" t="s">
        <v>1948</v>
      </c>
      <c r="B363" t="s">
        <v>1949</v>
      </c>
      <c r="C363" t="s">
        <v>1944</v>
      </c>
      <c r="D363" t="s">
        <v>346</v>
      </c>
      <c r="E363" t="s">
        <v>347</v>
      </c>
      <c r="F363" t="s">
        <v>348</v>
      </c>
      <c r="G363" t="s">
        <v>376</v>
      </c>
      <c r="H363" t="s">
        <v>377</v>
      </c>
      <c r="I363" t="s">
        <v>360</v>
      </c>
      <c r="J363" t="s">
        <v>361</v>
      </c>
      <c r="K363">
        <v>1655</v>
      </c>
      <c r="L363">
        <v>20.2</v>
      </c>
      <c r="M363" t="s">
        <v>1003</v>
      </c>
      <c r="N363">
        <v>29.858699999999999</v>
      </c>
      <c r="O363">
        <v>-90.286900000000003</v>
      </c>
      <c r="P363">
        <v>0</v>
      </c>
      <c r="Q363">
        <v>13</v>
      </c>
      <c r="R363">
        <v>2011</v>
      </c>
      <c r="S363">
        <v>2023</v>
      </c>
      <c r="T363" t="s">
        <v>1950</v>
      </c>
      <c r="U363" t="s">
        <v>1951</v>
      </c>
      <c r="Z363">
        <v>2011</v>
      </c>
      <c r="AB363" t="s">
        <v>1952</v>
      </c>
    </row>
    <row r="364" spans="1:28" x14ac:dyDescent="0.25">
      <c r="A364" t="s">
        <v>1953</v>
      </c>
      <c r="B364" t="s">
        <v>1954</v>
      </c>
      <c r="C364" t="s">
        <v>1944</v>
      </c>
      <c r="D364" t="s">
        <v>346</v>
      </c>
      <c r="E364" t="s">
        <v>347</v>
      </c>
      <c r="F364" t="s">
        <v>348</v>
      </c>
      <c r="G364" t="s">
        <v>376</v>
      </c>
      <c r="H364" t="s">
        <v>377</v>
      </c>
      <c r="I364" t="s">
        <v>360</v>
      </c>
      <c r="J364" t="s">
        <v>361</v>
      </c>
      <c r="K364">
        <v>1623</v>
      </c>
      <c r="L364">
        <v>20.9</v>
      </c>
      <c r="M364" t="s">
        <v>1003</v>
      </c>
      <c r="N364">
        <v>29.493600000000001</v>
      </c>
      <c r="O364">
        <v>-89.915300000000002</v>
      </c>
      <c r="P364">
        <v>0.2</v>
      </c>
      <c r="Q364">
        <v>5</v>
      </c>
      <c r="R364">
        <v>2019</v>
      </c>
      <c r="S364">
        <v>2023</v>
      </c>
      <c r="T364" t="s">
        <v>1291</v>
      </c>
      <c r="U364" t="s">
        <v>1955</v>
      </c>
      <c r="Z364">
        <v>2019</v>
      </c>
      <c r="AB364" t="s">
        <v>1956</v>
      </c>
    </row>
    <row r="365" spans="1:28" x14ac:dyDescent="0.25">
      <c r="A365" t="s">
        <v>1957</v>
      </c>
      <c r="B365" t="s">
        <v>1958</v>
      </c>
      <c r="C365" t="s">
        <v>1959</v>
      </c>
      <c r="D365" t="s">
        <v>375</v>
      </c>
      <c r="E365" t="s">
        <v>348</v>
      </c>
      <c r="F365" t="s">
        <v>348</v>
      </c>
      <c r="G365" t="s">
        <v>367</v>
      </c>
      <c r="H365" t="s">
        <v>368</v>
      </c>
      <c r="I365" t="s">
        <v>415</v>
      </c>
      <c r="J365" t="s">
        <v>416</v>
      </c>
      <c r="K365">
        <v>450</v>
      </c>
      <c r="L365">
        <v>15</v>
      </c>
      <c r="M365" t="s">
        <v>1003</v>
      </c>
      <c r="N365">
        <v>34.137700000000002</v>
      </c>
      <c r="O365">
        <v>-101.4787</v>
      </c>
      <c r="P365">
        <v>1026</v>
      </c>
      <c r="Q365">
        <v>0</v>
      </c>
      <c r="Z365">
        <v>2013</v>
      </c>
    </row>
    <row r="366" spans="1:28" x14ac:dyDescent="0.25">
      <c r="A366" t="s">
        <v>1960</v>
      </c>
      <c r="B366" t="s">
        <v>1961</v>
      </c>
      <c r="C366" t="s">
        <v>1962</v>
      </c>
      <c r="D366" t="s">
        <v>346</v>
      </c>
      <c r="E366" t="s">
        <v>347</v>
      </c>
      <c r="F366" t="s">
        <v>347</v>
      </c>
      <c r="G366" t="s">
        <v>349</v>
      </c>
      <c r="H366" t="s">
        <v>350</v>
      </c>
      <c r="M366" t="s">
        <v>1003</v>
      </c>
      <c r="N366">
        <v>36.3566</v>
      </c>
      <c r="O366">
        <v>-119.09220000000001</v>
      </c>
      <c r="P366">
        <v>131</v>
      </c>
      <c r="Q366">
        <v>2</v>
      </c>
      <c r="R366">
        <v>2009</v>
      </c>
      <c r="S366">
        <v>2010</v>
      </c>
      <c r="T366" t="s">
        <v>1963</v>
      </c>
      <c r="U366" t="s">
        <v>1964</v>
      </c>
      <c r="V366">
        <v>2009</v>
      </c>
      <c r="W366">
        <v>2010</v>
      </c>
      <c r="X366" t="s">
        <v>1963</v>
      </c>
      <c r="Y366" t="s">
        <v>1965</v>
      </c>
      <c r="Z366">
        <v>2009</v>
      </c>
      <c r="AA366">
        <v>2010</v>
      </c>
      <c r="AB366" t="s">
        <v>1966</v>
      </c>
    </row>
    <row r="367" spans="1:28" x14ac:dyDescent="0.25">
      <c r="A367" t="s">
        <v>1967</v>
      </c>
      <c r="B367" t="s">
        <v>1968</v>
      </c>
      <c r="C367" t="s">
        <v>1969</v>
      </c>
      <c r="D367" t="s">
        <v>346</v>
      </c>
      <c r="E367" t="s">
        <v>347</v>
      </c>
      <c r="F367" t="s">
        <v>348</v>
      </c>
      <c r="G367" t="s">
        <v>1436</v>
      </c>
      <c r="H367" t="s">
        <v>1437</v>
      </c>
      <c r="I367" t="s">
        <v>360</v>
      </c>
      <c r="J367" t="s">
        <v>361</v>
      </c>
      <c r="K367">
        <v>1310</v>
      </c>
      <c r="L367">
        <v>20</v>
      </c>
      <c r="M367" t="s">
        <v>1003</v>
      </c>
      <c r="N367">
        <v>31.279199999999999</v>
      </c>
      <c r="O367">
        <v>-84.532899999999998</v>
      </c>
      <c r="P367">
        <v>165</v>
      </c>
      <c r="Q367">
        <v>12</v>
      </c>
      <c r="R367">
        <v>2009</v>
      </c>
      <c r="S367">
        <v>2020</v>
      </c>
      <c r="T367" t="s">
        <v>1970</v>
      </c>
      <c r="U367" t="s">
        <v>1971</v>
      </c>
      <c r="Z367">
        <v>2008</v>
      </c>
      <c r="AA367">
        <v>2016</v>
      </c>
      <c r="AB367" t="s">
        <v>1972</v>
      </c>
    </row>
    <row r="368" spans="1:28" x14ac:dyDescent="0.25">
      <c r="A368" t="s">
        <v>1973</v>
      </c>
      <c r="B368" t="s">
        <v>1974</v>
      </c>
      <c r="C368" t="s">
        <v>1969</v>
      </c>
      <c r="D368" t="s">
        <v>346</v>
      </c>
      <c r="E368" t="s">
        <v>347</v>
      </c>
      <c r="F368" t="s">
        <v>348</v>
      </c>
      <c r="G368" t="s">
        <v>1436</v>
      </c>
      <c r="H368" t="s">
        <v>1437</v>
      </c>
      <c r="I368" t="s">
        <v>360</v>
      </c>
      <c r="J368" t="s">
        <v>361</v>
      </c>
      <c r="K368">
        <v>1310</v>
      </c>
      <c r="L368">
        <v>20</v>
      </c>
      <c r="M368" t="s">
        <v>1003</v>
      </c>
      <c r="N368">
        <v>31.201000000000001</v>
      </c>
      <c r="O368">
        <v>-84.444900000000004</v>
      </c>
      <c r="P368">
        <v>155</v>
      </c>
      <c r="Q368">
        <v>9</v>
      </c>
      <c r="R368">
        <v>2009</v>
      </c>
      <c r="S368">
        <v>2017</v>
      </c>
      <c r="T368" t="s">
        <v>1975</v>
      </c>
      <c r="U368" t="s">
        <v>1976</v>
      </c>
      <c r="Z368">
        <v>2008</v>
      </c>
      <c r="AA368">
        <v>2016</v>
      </c>
      <c r="AB368" t="s">
        <v>1972</v>
      </c>
    </row>
    <row r="369" spans="1:28" x14ac:dyDescent="0.25">
      <c r="A369" t="s">
        <v>1977</v>
      </c>
      <c r="B369" t="s">
        <v>1978</v>
      </c>
      <c r="C369" t="s">
        <v>1969</v>
      </c>
      <c r="D369" t="s">
        <v>346</v>
      </c>
      <c r="E369" t="s">
        <v>347</v>
      </c>
      <c r="F369" t="s">
        <v>348</v>
      </c>
      <c r="G369" t="s">
        <v>1436</v>
      </c>
      <c r="H369" t="s">
        <v>1437</v>
      </c>
      <c r="I369" t="s">
        <v>360</v>
      </c>
      <c r="J369" t="s">
        <v>361</v>
      </c>
      <c r="K369">
        <v>1310</v>
      </c>
      <c r="L369">
        <v>20</v>
      </c>
      <c r="M369" t="s">
        <v>1003</v>
      </c>
      <c r="N369">
        <v>31.268799999999999</v>
      </c>
      <c r="O369">
        <v>-84.478700000000003</v>
      </c>
      <c r="P369">
        <v>159.5</v>
      </c>
      <c r="Q369">
        <v>9</v>
      </c>
      <c r="R369">
        <v>2009</v>
      </c>
      <c r="S369">
        <v>2017</v>
      </c>
      <c r="T369" t="s">
        <v>1975</v>
      </c>
      <c r="U369" t="s">
        <v>1979</v>
      </c>
      <c r="Z369">
        <v>2008</v>
      </c>
      <c r="AA369">
        <v>2016</v>
      </c>
      <c r="AB369" t="s">
        <v>1972</v>
      </c>
    </row>
    <row r="370" spans="1:28" x14ac:dyDescent="0.25">
      <c r="A370" t="s">
        <v>1980</v>
      </c>
      <c r="B370" t="s">
        <v>1981</v>
      </c>
      <c r="C370" t="s">
        <v>1982</v>
      </c>
      <c r="D370" t="s">
        <v>375</v>
      </c>
      <c r="E370" t="s">
        <v>348</v>
      </c>
      <c r="F370" t="s">
        <v>348</v>
      </c>
      <c r="G370" t="s">
        <v>349</v>
      </c>
      <c r="H370" t="s">
        <v>350</v>
      </c>
      <c r="I370" t="s">
        <v>360</v>
      </c>
      <c r="J370" t="s">
        <v>361</v>
      </c>
      <c r="K370">
        <v>1371.6</v>
      </c>
      <c r="L370">
        <v>15.79</v>
      </c>
      <c r="M370" t="s">
        <v>1003</v>
      </c>
      <c r="N370">
        <v>34.143099999999997</v>
      </c>
      <c r="O370">
        <v>-90.659099999999995</v>
      </c>
      <c r="P370">
        <v>56.2</v>
      </c>
      <c r="Q370">
        <v>0</v>
      </c>
      <c r="Z370">
        <v>2000</v>
      </c>
    </row>
    <row r="371" spans="1:28" x14ac:dyDescent="0.25">
      <c r="A371" t="s">
        <v>1983</v>
      </c>
      <c r="B371" t="s">
        <v>1984</v>
      </c>
      <c r="C371" t="s">
        <v>1050</v>
      </c>
      <c r="D371" t="s">
        <v>346</v>
      </c>
      <c r="E371" t="s">
        <v>347</v>
      </c>
      <c r="F371" t="s">
        <v>348</v>
      </c>
      <c r="G371" t="s">
        <v>376</v>
      </c>
      <c r="H371" t="s">
        <v>377</v>
      </c>
      <c r="I371" t="s">
        <v>481</v>
      </c>
      <c r="J371" t="s">
        <v>482</v>
      </c>
      <c r="K371">
        <v>828</v>
      </c>
      <c r="L371">
        <v>4.08</v>
      </c>
      <c r="M371" t="s">
        <v>1003</v>
      </c>
      <c r="N371">
        <v>46.082700000000003</v>
      </c>
      <c r="O371">
        <v>-89.979200000000006</v>
      </c>
      <c r="P371">
        <v>480</v>
      </c>
      <c r="Q371">
        <v>25</v>
      </c>
      <c r="R371">
        <v>2000</v>
      </c>
      <c r="S371">
        <v>2024</v>
      </c>
      <c r="T371" t="s">
        <v>1985</v>
      </c>
      <c r="U371" t="s">
        <v>1986</v>
      </c>
      <c r="Z371">
        <v>2001</v>
      </c>
      <c r="AB371" t="s">
        <v>1987</v>
      </c>
    </row>
    <row r="372" spans="1:28" x14ac:dyDescent="0.25">
      <c r="A372" t="s">
        <v>1988</v>
      </c>
      <c r="B372" t="s">
        <v>1989</v>
      </c>
      <c r="C372" t="s">
        <v>1990</v>
      </c>
      <c r="D372" t="s">
        <v>375</v>
      </c>
      <c r="E372" t="s">
        <v>347</v>
      </c>
      <c r="F372" t="s">
        <v>348</v>
      </c>
      <c r="G372" t="s">
        <v>428</v>
      </c>
      <c r="H372" t="s">
        <v>429</v>
      </c>
      <c r="I372" t="s">
        <v>481</v>
      </c>
      <c r="J372" t="s">
        <v>482</v>
      </c>
      <c r="K372">
        <v>1071</v>
      </c>
      <c r="L372">
        <v>6.73</v>
      </c>
      <c r="M372" t="s">
        <v>1003</v>
      </c>
      <c r="N372">
        <v>42.541899999999998</v>
      </c>
      <c r="O372">
        <v>-72.185000000000002</v>
      </c>
      <c r="P372">
        <v>377.5</v>
      </c>
      <c r="Q372">
        <v>4</v>
      </c>
      <c r="R372">
        <v>2002</v>
      </c>
      <c r="S372">
        <v>2005</v>
      </c>
      <c r="T372" t="s">
        <v>1991</v>
      </c>
      <c r="U372" t="s">
        <v>1992</v>
      </c>
      <c r="Z372">
        <v>2002</v>
      </c>
      <c r="AB372" t="s">
        <v>720</v>
      </c>
    </row>
    <row r="373" spans="1:28" x14ac:dyDescent="0.25">
      <c r="A373" t="s">
        <v>1993</v>
      </c>
      <c r="B373" t="s">
        <v>1994</v>
      </c>
      <c r="C373" t="s">
        <v>1344</v>
      </c>
      <c r="D373" t="s">
        <v>346</v>
      </c>
      <c r="E373" t="s">
        <v>347</v>
      </c>
      <c r="F373" t="s">
        <v>348</v>
      </c>
      <c r="G373" t="s">
        <v>367</v>
      </c>
      <c r="H373" t="s">
        <v>368</v>
      </c>
      <c r="I373" t="s">
        <v>920</v>
      </c>
      <c r="J373" t="s">
        <v>921</v>
      </c>
      <c r="K373">
        <v>288</v>
      </c>
      <c r="L373">
        <v>17</v>
      </c>
      <c r="M373" t="s">
        <v>1003</v>
      </c>
      <c r="N373">
        <v>31.561499999999999</v>
      </c>
      <c r="O373">
        <v>-110.1403</v>
      </c>
      <c r="P373">
        <v>1230</v>
      </c>
      <c r="Q373">
        <v>6</v>
      </c>
      <c r="R373">
        <v>2002</v>
      </c>
      <c r="S373">
        <v>2007</v>
      </c>
      <c r="T373" t="s">
        <v>1995</v>
      </c>
      <c r="U373" t="s">
        <v>1996</v>
      </c>
      <c r="Z373">
        <v>2003</v>
      </c>
      <c r="AA373">
        <v>2007</v>
      </c>
      <c r="AB373" t="s">
        <v>1997</v>
      </c>
    </row>
    <row r="374" spans="1:28" x14ac:dyDescent="0.25">
      <c r="A374" t="s">
        <v>1998</v>
      </c>
      <c r="B374" t="s">
        <v>1999</v>
      </c>
      <c r="C374" t="s">
        <v>1344</v>
      </c>
      <c r="D374" t="s">
        <v>346</v>
      </c>
      <c r="E374" t="s">
        <v>347</v>
      </c>
      <c r="F374" t="s">
        <v>347</v>
      </c>
      <c r="G374" t="s">
        <v>1436</v>
      </c>
      <c r="H374" t="s">
        <v>1437</v>
      </c>
      <c r="I374" t="s">
        <v>920</v>
      </c>
      <c r="J374" t="s">
        <v>921</v>
      </c>
      <c r="K374">
        <v>288</v>
      </c>
      <c r="L374">
        <v>17</v>
      </c>
      <c r="M374" t="s">
        <v>1003</v>
      </c>
      <c r="N374">
        <v>31.565899999999999</v>
      </c>
      <c r="O374">
        <v>-110.1344</v>
      </c>
      <c r="P374">
        <v>1240</v>
      </c>
      <c r="Q374">
        <v>6</v>
      </c>
      <c r="R374">
        <v>2002</v>
      </c>
      <c r="S374">
        <v>2007</v>
      </c>
      <c r="T374" t="s">
        <v>1995</v>
      </c>
      <c r="U374" t="s">
        <v>2000</v>
      </c>
      <c r="V374">
        <v>2002</v>
      </c>
      <c r="W374">
        <v>2007</v>
      </c>
      <c r="X374" t="s">
        <v>1995</v>
      </c>
      <c r="Y374" t="s">
        <v>2001</v>
      </c>
      <c r="Z374">
        <v>2003</v>
      </c>
      <c r="AA374">
        <v>2007</v>
      </c>
      <c r="AB374" t="s">
        <v>2002</v>
      </c>
    </row>
    <row r="375" spans="1:28" x14ac:dyDescent="0.25">
      <c r="A375" t="s">
        <v>2003</v>
      </c>
      <c r="B375" t="s">
        <v>2004</v>
      </c>
      <c r="C375" t="s">
        <v>2005</v>
      </c>
      <c r="D375" t="s">
        <v>346</v>
      </c>
      <c r="E375" t="s">
        <v>348</v>
      </c>
      <c r="F375" t="s">
        <v>348</v>
      </c>
      <c r="G375" t="s">
        <v>446</v>
      </c>
      <c r="H375" t="s">
        <v>447</v>
      </c>
      <c r="I375" t="s">
        <v>360</v>
      </c>
      <c r="J375" t="s">
        <v>361</v>
      </c>
      <c r="K375">
        <v>973</v>
      </c>
      <c r="L375">
        <v>13.5</v>
      </c>
      <c r="M375" t="s">
        <v>1003</v>
      </c>
      <c r="N375">
        <v>38.504800000000003</v>
      </c>
      <c r="O375">
        <v>-92.248699999999999</v>
      </c>
      <c r="P375">
        <v>187</v>
      </c>
      <c r="Q375">
        <v>0</v>
      </c>
      <c r="Z375">
        <v>2023</v>
      </c>
    </row>
    <row r="376" spans="1:28" x14ac:dyDescent="0.25">
      <c r="A376" t="s">
        <v>2006</v>
      </c>
      <c r="B376" t="s">
        <v>2007</v>
      </c>
      <c r="C376" t="s">
        <v>1124</v>
      </c>
      <c r="D376" t="s">
        <v>375</v>
      </c>
      <c r="E376" t="s">
        <v>347</v>
      </c>
      <c r="F376" t="s">
        <v>348</v>
      </c>
      <c r="G376" t="s">
        <v>367</v>
      </c>
      <c r="H376" t="s">
        <v>368</v>
      </c>
      <c r="I376" t="s">
        <v>360</v>
      </c>
      <c r="J376" t="s">
        <v>361</v>
      </c>
      <c r="K376">
        <v>805.12</v>
      </c>
      <c r="L376">
        <v>16.09</v>
      </c>
      <c r="M376" t="s">
        <v>1003</v>
      </c>
      <c r="N376">
        <v>34.9604</v>
      </c>
      <c r="O376">
        <v>-97.978899999999996</v>
      </c>
      <c r="P376">
        <v>365</v>
      </c>
      <c r="Q376">
        <v>2</v>
      </c>
      <c r="R376">
        <v>1997</v>
      </c>
      <c r="S376">
        <v>1998</v>
      </c>
      <c r="T376" t="s">
        <v>2008</v>
      </c>
      <c r="U376" t="s">
        <v>2009</v>
      </c>
      <c r="Z376">
        <v>1997</v>
      </c>
      <c r="AA376">
        <v>1998</v>
      </c>
      <c r="AB376" t="s">
        <v>2010</v>
      </c>
    </row>
    <row r="377" spans="1:28" x14ac:dyDescent="0.25">
      <c r="A377" t="s">
        <v>2011</v>
      </c>
      <c r="B377" t="s">
        <v>2012</v>
      </c>
      <c r="C377" t="s">
        <v>2013</v>
      </c>
      <c r="D377" t="s">
        <v>375</v>
      </c>
      <c r="E377" t="s">
        <v>348</v>
      </c>
      <c r="F377" t="s">
        <v>348</v>
      </c>
      <c r="G377" t="s">
        <v>376</v>
      </c>
      <c r="H377" t="s">
        <v>377</v>
      </c>
      <c r="I377" t="s">
        <v>435</v>
      </c>
      <c r="J377" t="s">
        <v>436</v>
      </c>
      <c r="M377" t="s">
        <v>1003</v>
      </c>
      <c r="N377">
        <v>27.1632</v>
      </c>
      <c r="O377">
        <v>-81.187299999999993</v>
      </c>
      <c r="Q377">
        <v>0</v>
      </c>
      <c r="Z377">
        <v>2013</v>
      </c>
      <c r="AA377">
        <v>2015</v>
      </c>
    </row>
    <row r="378" spans="1:28" x14ac:dyDescent="0.25">
      <c r="A378" t="s">
        <v>2014</v>
      </c>
      <c r="B378" t="s">
        <v>2015</v>
      </c>
      <c r="C378" t="s">
        <v>982</v>
      </c>
      <c r="D378" t="s">
        <v>346</v>
      </c>
      <c r="E378" t="s">
        <v>347</v>
      </c>
      <c r="F378" t="s">
        <v>348</v>
      </c>
      <c r="G378" t="s">
        <v>376</v>
      </c>
      <c r="H378" t="s">
        <v>377</v>
      </c>
      <c r="K378">
        <v>780</v>
      </c>
      <c r="L378">
        <v>3.4</v>
      </c>
      <c r="M378" t="s">
        <v>1003</v>
      </c>
      <c r="N378">
        <v>47.505099999999999</v>
      </c>
      <c r="O378">
        <v>-93.4893</v>
      </c>
      <c r="P378">
        <v>416</v>
      </c>
      <c r="Q378">
        <v>15</v>
      </c>
      <c r="R378">
        <v>2009</v>
      </c>
      <c r="S378">
        <v>2023</v>
      </c>
      <c r="T378" t="s">
        <v>2016</v>
      </c>
      <c r="U378" t="s">
        <v>2017</v>
      </c>
      <c r="Z378">
        <v>2007</v>
      </c>
      <c r="AB378" t="s">
        <v>2018</v>
      </c>
    </row>
    <row r="379" spans="1:28" x14ac:dyDescent="0.25">
      <c r="A379" t="s">
        <v>2019</v>
      </c>
      <c r="B379" t="s">
        <v>2020</v>
      </c>
      <c r="C379" t="s">
        <v>1190</v>
      </c>
      <c r="D379" t="s">
        <v>346</v>
      </c>
      <c r="E379" t="s">
        <v>347</v>
      </c>
      <c r="F379" t="s">
        <v>348</v>
      </c>
      <c r="G379" t="s">
        <v>349</v>
      </c>
      <c r="H379" t="s">
        <v>350</v>
      </c>
      <c r="I379" t="s">
        <v>481</v>
      </c>
      <c r="J379" t="s">
        <v>482</v>
      </c>
      <c r="K379">
        <v>432</v>
      </c>
      <c r="L379">
        <v>6.25</v>
      </c>
      <c r="M379" t="s">
        <v>1003</v>
      </c>
      <c r="N379">
        <v>48.1873</v>
      </c>
      <c r="O379">
        <v>-114.15479999999999</v>
      </c>
      <c r="P379">
        <v>900</v>
      </c>
      <c r="Q379">
        <v>1</v>
      </c>
      <c r="R379">
        <v>2015</v>
      </c>
      <c r="S379">
        <v>2015</v>
      </c>
      <c r="T379">
        <v>2015</v>
      </c>
      <c r="U379" t="s">
        <v>2021</v>
      </c>
      <c r="Z379">
        <v>2015</v>
      </c>
      <c r="AA379">
        <v>2015</v>
      </c>
      <c r="AB379" t="s">
        <v>2022</v>
      </c>
    </row>
    <row r="380" spans="1:28" x14ac:dyDescent="0.25">
      <c r="A380" t="s">
        <v>2023</v>
      </c>
      <c r="B380" t="s">
        <v>2024</v>
      </c>
      <c r="C380" t="s">
        <v>1190</v>
      </c>
      <c r="D380" t="s">
        <v>346</v>
      </c>
      <c r="E380" t="s">
        <v>347</v>
      </c>
      <c r="F380" t="s">
        <v>348</v>
      </c>
      <c r="G380" t="s">
        <v>349</v>
      </c>
      <c r="H380" t="s">
        <v>350</v>
      </c>
      <c r="I380" t="s">
        <v>481</v>
      </c>
      <c r="J380" t="s">
        <v>482</v>
      </c>
      <c r="K380">
        <v>432</v>
      </c>
      <c r="L380">
        <v>6.25</v>
      </c>
      <c r="M380" t="s">
        <v>1003</v>
      </c>
      <c r="N380">
        <v>48.180199999999999</v>
      </c>
      <c r="O380">
        <v>-114.2051</v>
      </c>
      <c r="P380">
        <v>900</v>
      </c>
      <c r="Q380">
        <v>1</v>
      </c>
      <c r="R380">
        <v>2016</v>
      </c>
      <c r="S380">
        <v>2016</v>
      </c>
      <c r="T380">
        <v>2016</v>
      </c>
      <c r="U380" t="s">
        <v>2025</v>
      </c>
      <c r="Z380">
        <v>2016</v>
      </c>
      <c r="AA380">
        <v>2016</v>
      </c>
      <c r="AB380" t="s">
        <v>2026</v>
      </c>
    </row>
    <row r="381" spans="1:28" x14ac:dyDescent="0.25">
      <c r="A381" t="s">
        <v>2027</v>
      </c>
      <c r="B381" t="s">
        <v>2028</v>
      </c>
      <c r="C381" t="s">
        <v>1539</v>
      </c>
      <c r="D381" t="s">
        <v>346</v>
      </c>
      <c r="E381" t="s">
        <v>348</v>
      </c>
      <c r="F381" t="s">
        <v>348</v>
      </c>
      <c r="G381" t="s">
        <v>376</v>
      </c>
      <c r="H381" t="s">
        <v>377</v>
      </c>
      <c r="I381" t="s">
        <v>1545</v>
      </c>
      <c r="J381" t="s">
        <v>1546</v>
      </c>
      <c r="K381">
        <v>894</v>
      </c>
      <c r="L381">
        <v>10</v>
      </c>
      <c r="M381" t="s">
        <v>1003</v>
      </c>
      <c r="N381">
        <v>36.783000000000001</v>
      </c>
      <c r="O381">
        <v>-121.76900000000001</v>
      </c>
      <c r="P381">
        <v>0</v>
      </c>
      <c r="Q381">
        <v>0</v>
      </c>
      <c r="Z381">
        <v>2023</v>
      </c>
    </row>
    <row r="382" spans="1:28" x14ac:dyDescent="0.25">
      <c r="A382" t="s">
        <v>2029</v>
      </c>
      <c r="B382" t="s">
        <v>2030</v>
      </c>
      <c r="C382" t="s">
        <v>2031</v>
      </c>
      <c r="D382" t="s">
        <v>346</v>
      </c>
      <c r="E382" t="s">
        <v>347</v>
      </c>
      <c r="F382" t="s">
        <v>347</v>
      </c>
      <c r="G382" t="s">
        <v>513</v>
      </c>
      <c r="H382" t="s">
        <v>514</v>
      </c>
      <c r="I382" t="s">
        <v>573</v>
      </c>
      <c r="J382" t="s">
        <v>574</v>
      </c>
      <c r="K382">
        <v>704.61</v>
      </c>
      <c r="L382">
        <v>7.88</v>
      </c>
      <c r="M382" t="s">
        <v>1003</v>
      </c>
      <c r="N382">
        <v>44.5794</v>
      </c>
      <c r="O382">
        <v>-121.5</v>
      </c>
      <c r="P382">
        <v>896</v>
      </c>
      <c r="Q382">
        <v>2</v>
      </c>
      <c r="R382">
        <v>2004</v>
      </c>
      <c r="S382">
        <v>2005</v>
      </c>
      <c r="T382" t="s">
        <v>560</v>
      </c>
      <c r="U382" t="s">
        <v>2032</v>
      </c>
      <c r="V382">
        <v>2004</v>
      </c>
      <c r="W382">
        <v>2005</v>
      </c>
      <c r="X382" t="s">
        <v>560</v>
      </c>
      <c r="Y382" t="s">
        <v>2033</v>
      </c>
      <c r="Z382">
        <v>2004</v>
      </c>
      <c r="AA382">
        <v>2005</v>
      </c>
      <c r="AB382" t="s">
        <v>2034</v>
      </c>
    </row>
    <row r="383" spans="1:28" x14ac:dyDescent="0.25">
      <c r="A383" t="s">
        <v>50</v>
      </c>
      <c r="B383" t="s">
        <v>2035</v>
      </c>
      <c r="C383" t="s">
        <v>2036</v>
      </c>
      <c r="D383" t="s">
        <v>346</v>
      </c>
      <c r="E383" t="s">
        <v>347</v>
      </c>
      <c r="F383" t="s">
        <v>347</v>
      </c>
      <c r="G383" t="s">
        <v>513</v>
      </c>
      <c r="H383" t="s">
        <v>514</v>
      </c>
      <c r="I383" t="s">
        <v>573</v>
      </c>
      <c r="J383" t="s">
        <v>574</v>
      </c>
      <c r="K383">
        <v>523</v>
      </c>
      <c r="L383">
        <v>6.28</v>
      </c>
      <c r="M383" t="s">
        <v>1003</v>
      </c>
      <c r="N383">
        <v>44.452599999999997</v>
      </c>
      <c r="O383">
        <v>-121.55889999999999</v>
      </c>
      <c r="P383">
        <v>1253</v>
      </c>
      <c r="Q383">
        <v>23</v>
      </c>
      <c r="R383">
        <v>2002</v>
      </c>
      <c r="S383">
        <v>2024</v>
      </c>
      <c r="T383" t="s">
        <v>2037</v>
      </c>
      <c r="U383" t="s">
        <v>2038</v>
      </c>
      <c r="V383">
        <v>2002</v>
      </c>
      <c r="W383">
        <v>2022</v>
      </c>
      <c r="X383" t="s">
        <v>2039</v>
      </c>
      <c r="Y383" t="s">
        <v>2040</v>
      </c>
      <c r="Z383">
        <v>2002</v>
      </c>
      <c r="AB383" t="s">
        <v>2041</v>
      </c>
    </row>
    <row r="384" spans="1:28" x14ac:dyDescent="0.25">
      <c r="A384" t="s">
        <v>2042</v>
      </c>
      <c r="B384" t="s">
        <v>2043</v>
      </c>
      <c r="C384" t="s">
        <v>2031</v>
      </c>
      <c r="D384" t="s">
        <v>346</v>
      </c>
      <c r="E384" t="s">
        <v>347</v>
      </c>
      <c r="F384" t="s">
        <v>347</v>
      </c>
      <c r="G384" t="s">
        <v>513</v>
      </c>
      <c r="H384" t="s">
        <v>514</v>
      </c>
      <c r="I384" t="s">
        <v>573</v>
      </c>
      <c r="J384" t="s">
        <v>574</v>
      </c>
      <c r="K384">
        <v>719</v>
      </c>
      <c r="L384">
        <v>7.07</v>
      </c>
      <c r="M384" t="s">
        <v>1003</v>
      </c>
      <c r="N384">
        <v>44.315399999999997</v>
      </c>
      <c r="O384">
        <v>-121.6078</v>
      </c>
      <c r="P384">
        <v>1005</v>
      </c>
      <c r="Q384">
        <v>6</v>
      </c>
      <c r="R384">
        <v>2004</v>
      </c>
      <c r="S384">
        <v>2009</v>
      </c>
      <c r="T384" t="s">
        <v>2044</v>
      </c>
      <c r="U384" t="s">
        <v>2045</v>
      </c>
      <c r="V384">
        <v>2004</v>
      </c>
      <c r="W384">
        <v>2009</v>
      </c>
      <c r="X384" t="s">
        <v>2044</v>
      </c>
      <c r="Y384" t="s">
        <v>2046</v>
      </c>
      <c r="Z384">
        <v>2004</v>
      </c>
      <c r="AA384">
        <v>2009</v>
      </c>
      <c r="AB384" t="s">
        <v>2047</v>
      </c>
    </row>
    <row r="385" spans="1:28" x14ac:dyDescent="0.25">
      <c r="A385" t="s">
        <v>2048</v>
      </c>
      <c r="B385" t="s">
        <v>2049</v>
      </c>
      <c r="C385" t="s">
        <v>2050</v>
      </c>
      <c r="D385" t="s">
        <v>346</v>
      </c>
      <c r="E385" t="s">
        <v>347</v>
      </c>
      <c r="F385" t="s">
        <v>348</v>
      </c>
      <c r="G385" t="s">
        <v>513</v>
      </c>
      <c r="H385" t="s">
        <v>514</v>
      </c>
      <c r="I385" t="s">
        <v>573</v>
      </c>
      <c r="J385" t="s">
        <v>574</v>
      </c>
      <c r="K385">
        <v>1038.82</v>
      </c>
      <c r="L385">
        <v>7.61</v>
      </c>
      <c r="M385" t="s">
        <v>1003</v>
      </c>
      <c r="N385">
        <v>44.499200000000002</v>
      </c>
      <c r="O385">
        <v>-121.6224</v>
      </c>
      <c r="P385">
        <v>922</v>
      </c>
      <c r="Q385">
        <v>29</v>
      </c>
      <c r="R385">
        <v>1996</v>
      </c>
      <c r="S385">
        <v>2024</v>
      </c>
      <c r="T385" t="s">
        <v>1714</v>
      </c>
      <c r="U385" t="s">
        <v>2051</v>
      </c>
      <c r="Z385">
        <v>1996</v>
      </c>
      <c r="AB385" t="s">
        <v>2052</v>
      </c>
    </row>
    <row r="386" spans="1:28" x14ac:dyDescent="0.25">
      <c r="A386" t="s">
        <v>2053</v>
      </c>
      <c r="B386" t="s">
        <v>2054</v>
      </c>
      <c r="C386" t="s">
        <v>2031</v>
      </c>
      <c r="D386" t="s">
        <v>346</v>
      </c>
      <c r="E386" t="s">
        <v>347</v>
      </c>
      <c r="F386" t="s">
        <v>348</v>
      </c>
      <c r="G386" t="s">
        <v>513</v>
      </c>
      <c r="H386" t="s">
        <v>514</v>
      </c>
      <c r="I386" t="s">
        <v>573</v>
      </c>
      <c r="J386" t="s">
        <v>574</v>
      </c>
      <c r="K386">
        <v>590.80999999999995</v>
      </c>
      <c r="L386">
        <v>6.47</v>
      </c>
      <c r="M386" t="s">
        <v>1003</v>
      </c>
      <c r="N386">
        <v>44.437199999999997</v>
      </c>
      <c r="O386">
        <v>-121.5668</v>
      </c>
      <c r="P386">
        <v>1188</v>
      </c>
      <c r="Q386">
        <v>4</v>
      </c>
      <c r="R386">
        <v>1999</v>
      </c>
      <c r="S386">
        <v>2002</v>
      </c>
      <c r="T386" t="s">
        <v>2055</v>
      </c>
      <c r="U386" t="s">
        <v>2056</v>
      </c>
      <c r="Z386">
        <v>2000</v>
      </c>
      <c r="AA386">
        <v>2002</v>
      </c>
      <c r="AB386" t="s">
        <v>2057</v>
      </c>
    </row>
    <row r="387" spans="1:28" x14ac:dyDescent="0.25">
      <c r="A387" t="s">
        <v>51</v>
      </c>
      <c r="B387" t="s">
        <v>2058</v>
      </c>
      <c r="C387" t="s">
        <v>2036</v>
      </c>
      <c r="D387" t="s">
        <v>346</v>
      </c>
      <c r="E387" t="s">
        <v>347</v>
      </c>
      <c r="F387" t="s">
        <v>347</v>
      </c>
      <c r="G387" t="s">
        <v>513</v>
      </c>
      <c r="H387" t="s">
        <v>514</v>
      </c>
      <c r="I387" t="s">
        <v>573</v>
      </c>
      <c r="J387" t="s">
        <v>574</v>
      </c>
      <c r="K387">
        <v>494</v>
      </c>
      <c r="L387">
        <v>7.59</v>
      </c>
      <c r="M387" t="s">
        <v>1003</v>
      </c>
      <c r="N387">
        <v>44.323300000000003</v>
      </c>
      <c r="O387">
        <v>-121.6078</v>
      </c>
      <c r="P387">
        <v>998</v>
      </c>
      <c r="Q387">
        <v>15</v>
      </c>
      <c r="R387">
        <v>2010</v>
      </c>
      <c r="S387">
        <v>2024</v>
      </c>
      <c r="T387" t="s">
        <v>1271</v>
      </c>
      <c r="U387" t="s">
        <v>2059</v>
      </c>
      <c r="V387">
        <v>2010</v>
      </c>
      <c r="W387">
        <v>2022</v>
      </c>
      <c r="X387" t="s">
        <v>1838</v>
      </c>
      <c r="Y387" t="s">
        <v>2060</v>
      </c>
      <c r="Z387">
        <v>2010</v>
      </c>
      <c r="AB387" t="s">
        <v>2061</v>
      </c>
    </row>
    <row r="388" spans="1:28" x14ac:dyDescent="0.25">
      <c r="A388" t="s">
        <v>2062</v>
      </c>
      <c r="B388" t="s">
        <v>2063</v>
      </c>
      <c r="C388" t="s">
        <v>2036</v>
      </c>
      <c r="D388" t="s">
        <v>346</v>
      </c>
      <c r="E388" t="s">
        <v>347</v>
      </c>
      <c r="F388" t="s">
        <v>348</v>
      </c>
      <c r="G388" t="s">
        <v>513</v>
      </c>
      <c r="H388" t="s">
        <v>514</v>
      </c>
      <c r="I388" t="s">
        <v>573</v>
      </c>
      <c r="J388" t="s">
        <v>574</v>
      </c>
      <c r="K388">
        <v>523</v>
      </c>
      <c r="L388">
        <v>6.28</v>
      </c>
      <c r="M388" t="s">
        <v>1003</v>
      </c>
      <c r="N388">
        <v>44.453400000000002</v>
      </c>
      <c r="O388">
        <v>-121.56189999999999</v>
      </c>
      <c r="P388">
        <v>1253</v>
      </c>
      <c r="Q388">
        <v>2</v>
      </c>
      <c r="R388">
        <v>2022</v>
      </c>
      <c r="S388">
        <v>2023</v>
      </c>
      <c r="T388" t="s">
        <v>554</v>
      </c>
      <c r="U388" t="s">
        <v>2064</v>
      </c>
      <c r="Z388">
        <v>2022</v>
      </c>
      <c r="AB388" t="s">
        <v>2065</v>
      </c>
    </row>
    <row r="389" spans="1:28" x14ac:dyDescent="0.25">
      <c r="A389" t="s">
        <v>2066</v>
      </c>
      <c r="B389" t="s">
        <v>2067</v>
      </c>
      <c r="C389" t="s">
        <v>1050</v>
      </c>
      <c r="D389" t="s">
        <v>346</v>
      </c>
      <c r="E389" t="s">
        <v>347</v>
      </c>
      <c r="F389" t="s">
        <v>348</v>
      </c>
      <c r="G389" t="s">
        <v>918</v>
      </c>
      <c r="H389" t="s">
        <v>919</v>
      </c>
      <c r="I389" t="s">
        <v>1175</v>
      </c>
      <c r="J389" t="s">
        <v>1176</v>
      </c>
      <c r="K389">
        <v>875</v>
      </c>
      <c r="L389">
        <v>7.94</v>
      </c>
      <c r="M389" t="s">
        <v>1003</v>
      </c>
      <c r="N389">
        <v>43.077199999999998</v>
      </c>
      <c r="O389">
        <v>-89.403000000000006</v>
      </c>
      <c r="P389">
        <v>260</v>
      </c>
      <c r="Q389">
        <v>7</v>
      </c>
      <c r="R389">
        <v>2012</v>
      </c>
      <c r="S389">
        <v>2018</v>
      </c>
      <c r="T389" t="s">
        <v>2068</v>
      </c>
      <c r="U389" t="s">
        <v>2069</v>
      </c>
      <c r="Z389">
        <v>2012</v>
      </c>
      <c r="AA389">
        <v>2018</v>
      </c>
      <c r="AB389" t="s">
        <v>2070</v>
      </c>
    </row>
    <row r="390" spans="1:28" x14ac:dyDescent="0.25">
      <c r="A390" t="s">
        <v>2071</v>
      </c>
      <c r="B390" t="s">
        <v>2072</v>
      </c>
      <c r="C390" t="s">
        <v>1869</v>
      </c>
      <c r="D390" t="s">
        <v>375</v>
      </c>
      <c r="E390" t="s">
        <v>348</v>
      </c>
      <c r="F390" t="s">
        <v>348</v>
      </c>
      <c r="G390" t="s">
        <v>349</v>
      </c>
      <c r="H390" t="s">
        <v>350</v>
      </c>
      <c r="I390" t="s">
        <v>481</v>
      </c>
      <c r="J390" t="s">
        <v>482</v>
      </c>
      <c r="K390">
        <v>1170</v>
      </c>
      <c r="L390">
        <v>8.9</v>
      </c>
      <c r="M390" t="s">
        <v>1003</v>
      </c>
      <c r="N390">
        <v>43.138500000000001</v>
      </c>
      <c r="O390">
        <v>-70.960999999999999</v>
      </c>
      <c r="P390">
        <v>20</v>
      </c>
      <c r="Q390">
        <v>0</v>
      </c>
      <c r="Z390">
        <v>2014</v>
      </c>
      <c r="AA390">
        <v>2018</v>
      </c>
    </row>
    <row r="391" spans="1:28" x14ac:dyDescent="0.25">
      <c r="A391" t="s">
        <v>2073</v>
      </c>
      <c r="B391" t="s">
        <v>2074</v>
      </c>
      <c r="C391" t="s">
        <v>2075</v>
      </c>
      <c r="D391" t="s">
        <v>346</v>
      </c>
      <c r="E391" t="s">
        <v>348</v>
      </c>
      <c r="F391" t="s">
        <v>348</v>
      </c>
      <c r="G391" t="s">
        <v>367</v>
      </c>
      <c r="H391" t="s">
        <v>368</v>
      </c>
      <c r="I391" t="s">
        <v>2076</v>
      </c>
      <c r="J391" t="s">
        <v>2077</v>
      </c>
      <c r="K391">
        <v>317.8</v>
      </c>
      <c r="L391">
        <v>7.06</v>
      </c>
      <c r="M391" t="s">
        <v>1003</v>
      </c>
      <c r="N391">
        <v>46.699599999999997</v>
      </c>
      <c r="O391">
        <v>-114.03530000000001</v>
      </c>
      <c r="P391">
        <v>1043</v>
      </c>
      <c r="Q391">
        <v>0</v>
      </c>
      <c r="Z391">
        <v>2022</v>
      </c>
    </row>
    <row r="392" spans="1:28" x14ac:dyDescent="0.25">
      <c r="A392" t="s">
        <v>2078</v>
      </c>
      <c r="B392" t="s">
        <v>2079</v>
      </c>
      <c r="C392" t="s">
        <v>1190</v>
      </c>
      <c r="D392" t="s">
        <v>346</v>
      </c>
      <c r="E392" t="s">
        <v>347</v>
      </c>
      <c r="F392" t="s">
        <v>348</v>
      </c>
      <c r="G392" t="s">
        <v>349</v>
      </c>
      <c r="H392" t="s">
        <v>350</v>
      </c>
      <c r="I392" t="s">
        <v>913</v>
      </c>
      <c r="J392" t="s">
        <v>914</v>
      </c>
      <c r="K392">
        <v>347</v>
      </c>
      <c r="L392">
        <v>8.9</v>
      </c>
      <c r="M392" t="s">
        <v>1003</v>
      </c>
      <c r="N392">
        <v>45.9206</v>
      </c>
      <c r="O392">
        <v>-108.2414</v>
      </c>
      <c r="P392">
        <v>919.6</v>
      </c>
      <c r="Q392">
        <v>1</v>
      </c>
      <c r="R392">
        <v>2015</v>
      </c>
      <c r="S392">
        <v>2015</v>
      </c>
      <c r="T392">
        <v>2015</v>
      </c>
      <c r="U392" t="s">
        <v>2080</v>
      </c>
      <c r="Z392">
        <v>2015</v>
      </c>
      <c r="AA392">
        <v>2015</v>
      </c>
      <c r="AB392" t="s">
        <v>2022</v>
      </c>
    </row>
    <row r="393" spans="1:28" x14ac:dyDescent="0.25">
      <c r="A393" t="s">
        <v>2081</v>
      </c>
      <c r="B393" t="s">
        <v>2082</v>
      </c>
      <c r="C393" t="s">
        <v>1190</v>
      </c>
      <c r="D393" t="s">
        <v>346</v>
      </c>
      <c r="E393" t="s">
        <v>347</v>
      </c>
      <c r="F393" t="s">
        <v>348</v>
      </c>
      <c r="G393" t="s">
        <v>349</v>
      </c>
      <c r="H393" t="s">
        <v>350</v>
      </c>
      <c r="I393" t="s">
        <v>913</v>
      </c>
      <c r="J393" t="s">
        <v>914</v>
      </c>
      <c r="K393">
        <v>347</v>
      </c>
      <c r="L393">
        <v>8.9</v>
      </c>
      <c r="M393" t="s">
        <v>1003</v>
      </c>
      <c r="N393">
        <v>45.969900000000003</v>
      </c>
      <c r="O393">
        <v>-108.1978</v>
      </c>
      <c r="P393">
        <v>891</v>
      </c>
      <c r="Q393">
        <v>1</v>
      </c>
      <c r="R393">
        <v>2016</v>
      </c>
      <c r="S393">
        <v>2016</v>
      </c>
      <c r="T393">
        <v>2016</v>
      </c>
      <c r="U393" t="s">
        <v>2083</v>
      </c>
      <c r="Z393">
        <v>2016</v>
      </c>
      <c r="AA393">
        <v>2016</v>
      </c>
      <c r="AB393" t="s">
        <v>2084</v>
      </c>
    </row>
    <row r="394" spans="1:28" x14ac:dyDescent="0.25">
      <c r="A394" t="s">
        <v>2085</v>
      </c>
      <c r="B394" t="s">
        <v>2086</v>
      </c>
      <c r="C394" t="s">
        <v>1759</v>
      </c>
      <c r="D394" t="s">
        <v>346</v>
      </c>
      <c r="E394" t="s">
        <v>347</v>
      </c>
      <c r="F394" t="s">
        <v>348</v>
      </c>
      <c r="G394" t="s">
        <v>446</v>
      </c>
      <c r="H394" t="s">
        <v>447</v>
      </c>
      <c r="I394" t="s">
        <v>481</v>
      </c>
      <c r="J394" t="s">
        <v>482</v>
      </c>
      <c r="K394">
        <v>1012.7</v>
      </c>
      <c r="L394">
        <v>10.5</v>
      </c>
      <c r="M394" t="s">
        <v>1003</v>
      </c>
      <c r="N394">
        <v>41.7727</v>
      </c>
      <c r="O394">
        <v>-80.631299999999996</v>
      </c>
      <c r="P394">
        <v>290</v>
      </c>
      <c r="Q394">
        <v>5</v>
      </c>
      <c r="R394">
        <v>2015</v>
      </c>
      <c r="S394">
        <v>2019</v>
      </c>
      <c r="T394" t="s">
        <v>2087</v>
      </c>
      <c r="U394" t="s">
        <v>2088</v>
      </c>
      <c r="Z394">
        <v>2015</v>
      </c>
      <c r="AA394">
        <v>2019</v>
      </c>
      <c r="AB394" t="s">
        <v>2089</v>
      </c>
    </row>
    <row r="395" spans="1:28" x14ac:dyDescent="0.25">
      <c r="A395" t="s">
        <v>2090</v>
      </c>
      <c r="B395" t="s">
        <v>2091</v>
      </c>
      <c r="C395" t="s">
        <v>1759</v>
      </c>
      <c r="D395" t="s">
        <v>346</v>
      </c>
      <c r="E395" t="s">
        <v>347</v>
      </c>
      <c r="F395" t="s">
        <v>348</v>
      </c>
      <c r="G395" t="s">
        <v>446</v>
      </c>
      <c r="H395" t="s">
        <v>447</v>
      </c>
      <c r="I395" t="s">
        <v>481</v>
      </c>
      <c r="J395" t="s">
        <v>482</v>
      </c>
      <c r="K395">
        <v>1012.7</v>
      </c>
      <c r="L395">
        <v>10.5</v>
      </c>
      <c r="M395" t="s">
        <v>1003</v>
      </c>
      <c r="N395">
        <v>41.547899999999998</v>
      </c>
      <c r="O395">
        <v>-80.855000000000004</v>
      </c>
      <c r="P395">
        <v>280</v>
      </c>
      <c r="Q395">
        <v>3</v>
      </c>
      <c r="R395">
        <v>2015</v>
      </c>
      <c r="S395">
        <v>2017</v>
      </c>
      <c r="T395" t="s">
        <v>927</v>
      </c>
      <c r="U395" t="s">
        <v>2092</v>
      </c>
      <c r="Z395">
        <v>2015</v>
      </c>
      <c r="AA395">
        <v>2017</v>
      </c>
      <c r="AB395" t="s">
        <v>2089</v>
      </c>
    </row>
    <row r="396" spans="1:28" x14ac:dyDescent="0.25">
      <c r="A396" t="s">
        <v>2093</v>
      </c>
      <c r="B396" t="s">
        <v>2094</v>
      </c>
      <c r="C396" t="s">
        <v>1759</v>
      </c>
      <c r="D396" t="s">
        <v>346</v>
      </c>
      <c r="E396" t="s">
        <v>347</v>
      </c>
      <c r="F396" t="s">
        <v>348</v>
      </c>
      <c r="G396" t="s">
        <v>446</v>
      </c>
      <c r="H396" t="s">
        <v>447</v>
      </c>
      <c r="I396" t="s">
        <v>481</v>
      </c>
      <c r="J396" t="s">
        <v>482</v>
      </c>
      <c r="K396">
        <v>1012.7</v>
      </c>
      <c r="L396">
        <v>10.5</v>
      </c>
      <c r="M396" t="s">
        <v>1003</v>
      </c>
      <c r="N396">
        <v>41.822200000000002</v>
      </c>
      <c r="O396">
        <v>-80.637</v>
      </c>
      <c r="P396">
        <v>270</v>
      </c>
      <c r="Q396">
        <v>5</v>
      </c>
      <c r="R396">
        <v>2015</v>
      </c>
      <c r="S396">
        <v>2019</v>
      </c>
      <c r="T396" t="s">
        <v>2087</v>
      </c>
      <c r="U396" t="s">
        <v>2095</v>
      </c>
      <c r="Z396">
        <v>2015</v>
      </c>
      <c r="AA396">
        <v>2019</v>
      </c>
      <c r="AB396" t="s">
        <v>2089</v>
      </c>
    </row>
    <row r="397" spans="1:28" x14ac:dyDescent="0.25">
      <c r="A397" t="s">
        <v>2096</v>
      </c>
      <c r="B397" t="s">
        <v>2097</v>
      </c>
      <c r="C397" t="s">
        <v>2098</v>
      </c>
      <c r="D397" t="s">
        <v>346</v>
      </c>
      <c r="E397" t="s">
        <v>347</v>
      </c>
      <c r="F397" t="s">
        <v>348</v>
      </c>
      <c r="G397" t="s">
        <v>349</v>
      </c>
      <c r="H397" t="s">
        <v>350</v>
      </c>
      <c r="I397" t="s">
        <v>913</v>
      </c>
      <c r="J397" t="s">
        <v>914</v>
      </c>
      <c r="K397">
        <v>388</v>
      </c>
      <c r="L397">
        <v>6.6</v>
      </c>
      <c r="M397" t="s">
        <v>1003</v>
      </c>
      <c r="N397">
        <v>46.994799999999998</v>
      </c>
      <c r="O397">
        <v>-109.61369999999999</v>
      </c>
      <c r="P397">
        <v>1285</v>
      </c>
      <c r="Q397">
        <v>2</v>
      </c>
      <c r="R397">
        <v>2013</v>
      </c>
      <c r="S397">
        <v>2014</v>
      </c>
      <c r="T397" t="s">
        <v>2099</v>
      </c>
      <c r="U397" t="s">
        <v>2100</v>
      </c>
      <c r="Z397">
        <v>2013</v>
      </c>
      <c r="AA397">
        <v>2014</v>
      </c>
      <c r="AB397" t="s">
        <v>2101</v>
      </c>
    </row>
    <row r="398" spans="1:28" x14ac:dyDescent="0.25">
      <c r="A398" t="s">
        <v>2102</v>
      </c>
      <c r="B398" t="s">
        <v>2103</v>
      </c>
      <c r="C398" t="s">
        <v>2098</v>
      </c>
      <c r="D398" t="s">
        <v>346</v>
      </c>
      <c r="E398" t="s">
        <v>347</v>
      </c>
      <c r="F398" t="s">
        <v>348</v>
      </c>
      <c r="G398" t="s">
        <v>349</v>
      </c>
      <c r="H398" t="s">
        <v>350</v>
      </c>
      <c r="I398" t="s">
        <v>913</v>
      </c>
      <c r="J398" t="s">
        <v>914</v>
      </c>
      <c r="K398">
        <v>388</v>
      </c>
      <c r="L398">
        <v>6.6</v>
      </c>
      <c r="M398" t="s">
        <v>1003</v>
      </c>
      <c r="N398">
        <v>46.995699999999999</v>
      </c>
      <c r="O398">
        <v>-109.62949999999999</v>
      </c>
      <c r="P398">
        <v>1277</v>
      </c>
      <c r="Q398">
        <v>1</v>
      </c>
      <c r="R398">
        <v>2014</v>
      </c>
      <c r="S398">
        <v>2014</v>
      </c>
      <c r="T398">
        <v>2014</v>
      </c>
      <c r="U398" t="s">
        <v>2104</v>
      </c>
      <c r="Z398">
        <v>2014</v>
      </c>
      <c r="AA398">
        <v>2014</v>
      </c>
      <c r="AB398" t="s">
        <v>2105</v>
      </c>
    </row>
    <row r="399" spans="1:28" x14ac:dyDescent="0.25">
      <c r="A399" t="s">
        <v>52</v>
      </c>
      <c r="B399" t="s">
        <v>2106</v>
      </c>
      <c r="C399" t="s">
        <v>2107</v>
      </c>
      <c r="D399" t="s">
        <v>346</v>
      </c>
      <c r="E399" t="s">
        <v>347</v>
      </c>
      <c r="F399" t="s">
        <v>347</v>
      </c>
      <c r="G399" t="s">
        <v>428</v>
      </c>
      <c r="H399" t="s">
        <v>429</v>
      </c>
      <c r="I399" t="s">
        <v>360</v>
      </c>
      <c r="J399" t="s">
        <v>361</v>
      </c>
      <c r="K399">
        <v>1032</v>
      </c>
      <c r="L399">
        <v>10.85</v>
      </c>
      <c r="M399" t="s">
        <v>1003</v>
      </c>
      <c r="N399">
        <v>39.3232</v>
      </c>
      <c r="O399">
        <v>-86.4131</v>
      </c>
      <c r="P399">
        <v>275</v>
      </c>
      <c r="Q399">
        <v>26</v>
      </c>
      <c r="R399">
        <v>1999</v>
      </c>
      <c r="S399">
        <v>2024</v>
      </c>
      <c r="T399" t="s">
        <v>1720</v>
      </c>
      <c r="U399" t="s">
        <v>2108</v>
      </c>
      <c r="V399">
        <v>1999</v>
      </c>
      <c r="W399">
        <v>2020</v>
      </c>
      <c r="X399" t="s">
        <v>1639</v>
      </c>
      <c r="Y399" t="s">
        <v>2109</v>
      </c>
      <c r="Z399">
        <v>1999</v>
      </c>
      <c r="AB399" t="s">
        <v>2110</v>
      </c>
    </row>
    <row r="400" spans="1:28" x14ac:dyDescent="0.25">
      <c r="A400" t="s">
        <v>2111</v>
      </c>
      <c r="B400" t="s">
        <v>2112</v>
      </c>
      <c r="C400" t="s">
        <v>2113</v>
      </c>
      <c r="D400" t="s">
        <v>346</v>
      </c>
      <c r="E400" t="s">
        <v>347</v>
      </c>
      <c r="F400" t="s">
        <v>348</v>
      </c>
      <c r="G400" t="s">
        <v>349</v>
      </c>
      <c r="H400" t="s">
        <v>350</v>
      </c>
      <c r="I400" t="s">
        <v>2076</v>
      </c>
      <c r="J400" t="s">
        <v>2077</v>
      </c>
      <c r="K400">
        <v>684.5</v>
      </c>
      <c r="L400">
        <v>5.7</v>
      </c>
      <c r="M400" t="s">
        <v>1003</v>
      </c>
      <c r="N400">
        <v>45.616799999999998</v>
      </c>
      <c r="O400">
        <v>-96.126900000000006</v>
      </c>
      <c r="P400">
        <v>339</v>
      </c>
      <c r="Q400">
        <v>7</v>
      </c>
      <c r="R400">
        <v>2017</v>
      </c>
      <c r="S400">
        <v>2023</v>
      </c>
      <c r="T400" t="s">
        <v>2114</v>
      </c>
      <c r="U400" t="s">
        <v>2115</v>
      </c>
      <c r="Z400">
        <v>2017</v>
      </c>
      <c r="AB400" t="s">
        <v>2116</v>
      </c>
    </row>
    <row r="401" spans="1:28" x14ac:dyDescent="0.25">
      <c r="A401" t="s">
        <v>2117</v>
      </c>
      <c r="B401" t="s">
        <v>2118</v>
      </c>
      <c r="C401" t="s">
        <v>2113</v>
      </c>
      <c r="D401" t="s">
        <v>346</v>
      </c>
      <c r="E401" t="s">
        <v>347</v>
      </c>
      <c r="F401" t="s">
        <v>348</v>
      </c>
      <c r="G401" t="s">
        <v>349</v>
      </c>
      <c r="H401" t="s">
        <v>350</v>
      </c>
      <c r="I401" t="s">
        <v>2076</v>
      </c>
      <c r="J401" t="s">
        <v>2077</v>
      </c>
      <c r="K401">
        <v>684.5</v>
      </c>
      <c r="L401">
        <v>5.7</v>
      </c>
      <c r="M401" t="s">
        <v>1003</v>
      </c>
      <c r="N401">
        <v>45.627000000000002</v>
      </c>
      <c r="O401">
        <v>-96.127099999999999</v>
      </c>
      <c r="P401">
        <v>339</v>
      </c>
      <c r="Q401">
        <v>7</v>
      </c>
      <c r="R401">
        <v>2017</v>
      </c>
      <c r="S401">
        <v>2023</v>
      </c>
      <c r="T401" t="s">
        <v>2114</v>
      </c>
      <c r="U401" t="s">
        <v>2119</v>
      </c>
      <c r="Z401">
        <v>2017</v>
      </c>
      <c r="AB401" t="s">
        <v>2116</v>
      </c>
    </row>
    <row r="402" spans="1:28" x14ac:dyDescent="0.25">
      <c r="A402" t="s">
        <v>2120</v>
      </c>
      <c r="B402" t="s">
        <v>2121</v>
      </c>
      <c r="C402" t="s">
        <v>2113</v>
      </c>
      <c r="D402" t="s">
        <v>346</v>
      </c>
      <c r="E402" t="s">
        <v>347</v>
      </c>
      <c r="F402" t="s">
        <v>348</v>
      </c>
      <c r="G402" t="s">
        <v>349</v>
      </c>
      <c r="H402" t="s">
        <v>350</v>
      </c>
      <c r="I402" t="s">
        <v>2076</v>
      </c>
      <c r="J402" t="s">
        <v>2077</v>
      </c>
      <c r="K402">
        <v>684.5</v>
      </c>
      <c r="L402">
        <v>5.7</v>
      </c>
      <c r="M402" t="s">
        <v>1003</v>
      </c>
      <c r="N402">
        <v>45.609099999999998</v>
      </c>
      <c r="O402">
        <v>-96.126499999999993</v>
      </c>
      <c r="P402">
        <v>339</v>
      </c>
      <c r="Q402">
        <v>4</v>
      </c>
      <c r="R402">
        <v>2020</v>
      </c>
      <c r="S402">
        <v>2023</v>
      </c>
      <c r="T402" t="s">
        <v>1514</v>
      </c>
      <c r="U402" t="s">
        <v>2122</v>
      </c>
      <c r="Z402">
        <v>2020</v>
      </c>
      <c r="AB402" t="s">
        <v>2123</v>
      </c>
    </row>
    <row r="403" spans="1:28" x14ac:dyDescent="0.25">
      <c r="A403" t="s">
        <v>53</v>
      </c>
      <c r="B403" t="s">
        <v>2124</v>
      </c>
      <c r="C403" t="s">
        <v>2125</v>
      </c>
      <c r="D403" t="s">
        <v>346</v>
      </c>
      <c r="E403" t="s">
        <v>347</v>
      </c>
      <c r="F403" t="s">
        <v>347</v>
      </c>
      <c r="G403" t="s">
        <v>349</v>
      </c>
      <c r="H403" t="s">
        <v>350</v>
      </c>
      <c r="I403" t="s">
        <v>360</v>
      </c>
      <c r="J403" t="s">
        <v>361</v>
      </c>
      <c r="K403">
        <v>981</v>
      </c>
      <c r="L403">
        <v>12</v>
      </c>
      <c r="M403" t="s">
        <v>1003</v>
      </c>
      <c r="N403">
        <v>39.229799999999997</v>
      </c>
      <c r="O403">
        <v>-92.116699999999994</v>
      </c>
      <c r="P403">
        <v>260</v>
      </c>
      <c r="Q403">
        <v>9</v>
      </c>
      <c r="R403">
        <v>2015</v>
      </c>
      <c r="S403">
        <v>2023</v>
      </c>
      <c r="T403" t="s">
        <v>1053</v>
      </c>
      <c r="U403" t="s">
        <v>2126</v>
      </c>
      <c r="V403">
        <v>2015</v>
      </c>
      <c r="W403">
        <v>2023</v>
      </c>
      <c r="X403" t="s">
        <v>1053</v>
      </c>
      <c r="Y403" t="s">
        <v>2127</v>
      </c>
      <c r="Z403">
        <v>2015</v>
      </c>
      <c r="AB403" t="s">
        <v>2128</v>
      </c>
    </row>
    <row r="404" spans="1:28" x14ac:dyDescent="0.25">
      <c r="A404" t="s">
        <v>54</v>
      </c>
      <c r="B404" t="s">
        <v>2129</v>
      </c>
      <c r="C404" t="s">
        <v>2125</v>
      </c>
      <c r="D404" t="s">
        <v>346</v>
      </c>
      <c r="E404" t="s">
        <v>347</v>
      </c>
      <c r="F404" t="s">
        <v>347</v>
      </c>
      <c r="G404" t="s">
        <v>367</v>
      </c>
      <c r="H404" t="s">
        <v>368</v>
      </c>
      <c r="I404" t="s">
        <v>360</v>
      </c>
      <c r="J404" t="s">
        <v>361</v>
      </c>
      <c r="K404">
        <v>981</v>
      </c>
      <c r="L404">
        <v>12</v>
      </c>
      <c r="M404" t="s">
        <v>1003</v>
      </c>
      <c r="N404">
        <v>38.948799999999999</v>
      </c>
      <c r="O404">
        <v>-91.994500000000002</v>
      </c>
      <c r="P404">
        <v>275</v>
      </c>
      <c r="Q404">
        <v>6</v>
      </c>
      <c r="R404">
        <v>2018</v>
      </c>
      <c r="S404">
        <v>2023</v>
      </c>
      <c r="T404" t="s">
        <v>369</v>
      </c>
      <c r="U404" t="s">
        <v>2130</v>
      </c>
      <c r="V404">
        <v>2018</v>
      </c>
      <c r="W404">
        <v>2023</v>
      </c>
      <c r="X404" t="s">
        <v>369</v>
      </c>
      <c r="Y404" t="s">
        <v>2131</v>
      </c>
      <c r="Z404">
        <v>2017</v>
      </c>
      <c r="AB404" t="s">
        <v>2128</v>
      </c>
    </row>
    <row r="405" spans="1:28" x14ac:dyDescent="0.25">
      <c r="A405" t="s">
        <v>55</v>
      </c>
      <c r="B405" t="s">
        <v>2132</v>
      </c>
      <c r="C405" t="s">
        <v>2125</v>
      </c>
      <c r="D405" t="s">
        <v>346</v>
      </c>
      <c r="E405" t="s">
        <v>347</v>
      </c>
      <c r="F405" t="s">
        <v>347</v>
      </c>
      <c r="G405" t="s">
        <v>349</v>
      </c>
      <c r="H405" t="s">
        <v>350</v>
      </c>
      <c r="I405" t="s">
        <v>360</v>
      </c>
      <c r="J405" t="s">
        <v>361</v>
      </c>
      <c r="K405">
        <v>981</v>
      </c>
      <c r="L405">
        <v>12</v>
      </c>
      <c r="M405" t="s">
        <v>1003</v>
      </c>
      <c r="N405">
        <v>39.232199999999999</v>
      </c>
      <c r="O405">
        <v>-92.149299999999997</v>
      </c>
      <c r="P405">
        <v>261</v>
      </c>
      <c r="Q405">
        <v>8</v>
      </c>
      <c r="R405">
        <v>2016</v>
      </c>
      <c r="S405">
        <v>2023</v>
      </c>
      <c r="T405" t="s">
        <v>2133</v>
      </c>
      <c r="U405" t="s">
        <v>2134</v>
      </c>
      <c r="V405">
        <v>2016</v>
      </c>
      <c r="W405">
        <v>2021</v>
      </c>
      <c r="X405" t="s">
        <v>1163</v>
      </c>
      <c r="Y405" t="s">
        <v>2135</v>
      </c>
      <c r="Z405">
        <v>2016</v>
      </c>
      <c r="AB405" t="s">
        <v>2128</v>
      </c>
    </row>
    <row r="406" spans="1:28" x14ac:dyDescent="0.25">
      <c r="A406" t="s">
        <v>56</v>
      </c>
      <c r="B406" t="s">
        <v>2136</v>
      </c>
      <c r="C406" t="s">
        <v>2137</v>
      </c>
      <c r="D406" t="s">
        <v>346</v>
      </c>
      <c r="E406" t="s">
        <v>347</v>
      </c>
      <c r="F406" t="s">
        <v>347</v>
      </c>
      <c r="G406" t="s">
        <v>428</v>
      </c>
      <c r="H406" t="s">
        <v>429</v>
      </c>
      <c r="I406" t="s">
        <v>360</v>
      </c>
      <c r="J406" t="s">
        <v>361</v>
      </c>
      <c r="K406">
        <v>986</v>
      </c>
      <c r="L406">
        <v>12.11</v>
      </c>
      <c r="M406" t="s">
        <v>1003</v>
      </c>
      <c r="N406">
        <v>38.744100000000003</v>
      </c>
      <c r="O406">
        <v>-92.2</v>
      </c>
      <c r="P406">
        <v>219.4</v>
      </c>
      <c r="Q406">
        <v>18</v>
      </c>
      <c r="R406">
        <v>2004</v>
      </c>
      <c r="S406">
        <v>2021</v>
      </c>
      <c r="T406" t="s">
        <v>2138</v>
      </c>
      <c r="U406" t="s">
        <v>2139</v>
      </c>
      <c r="V406">
        <v>2004</v>
      </c>
      <c r="W406">
        <v>2021</v>
      </c>
      <c r="X406" t="s">
        <v>2138</v>
      </c>
      <c r="Y406" t="s">
        <v>2140</v>
      </c>
      <c r="Z406">
        <v>2004</v>
      </c>
      <c r="AB406" t="s">
        <v>2141</v>
      </c>
    </row>
    <row r="407" spans="1:28" x14ac:dyDescent="0.25">
      <c r="A407" t="s">
        <v>57</v>
      </c>
      <c r="B407" t="s">
        <v>2142</v>
      </c>
      <c r="C407" t="s">
        <v>1607</v>
      </c>
      <c r="D407" t="s">
        <v>346</v>
      </c>
      <c r="E407" t="s">
        <v>347</v>
      </c>
      <c r="F407" t="s">
        <v>347</v>
      </c>
      <c r="G407" t="s">
        <v>433</v>
      </c>
      <c r="H407" t="s">
        <v>434</v>
      </c>
      <c r="I407" t="s">
        <v>913</v>
      </c>
      <c r="J407" t="s">
        <v>914</v>
      </c>
      <c r="K407">
        <v>385</v>
      </c>
      <c r="L407">
        <v>10.5</v>
      </c>
      <c r="M407" t="s">
        <v>1003</v>
      </c>
      <c r="N407">
        <v>34.438499999999998</v>
      </c>
      <c r="O407">
        <v>-106.2377</v>
      </c>
      <c r="P407">
        <v>2196</v>
      </c>
      <c r="Q407">
        <v>17</v>
      </c>
      <c r="R407">
        <v>2008</v>
      </c>
      <c r="S407">
        <v>2024</v>
      </c>
      <c r="T407" t="s">
        <v>2143</v>
      </c>
      <c r="U407" t="s">
        <v>2144</v>
      </c>
      <c r="V407">
        <v>2008</v>
      </c>
      <c r="W407">
        <v>2020</v>
      </c>
      <c r="X407" t="s">
        <v>1561</v>
      </c>
      <c r="Y407" t="s">
        <v>2145</v>
      </c>
      <c r="Z407">
        <v>2007</v>
      </c>
      <c r="AB407" t="s">
        <v>2146</v>
      </c>
    </row>
    <row r="408" spans="1:28" x14ac:dyDescent="0.25">
      <c r="A408" t="s">
        <v>2147</v>
      </c>
      <c r="B408" t="s">
        <v>2148</v>
      </c>
      <c r="C408" t="s">
        <v>2031</v>
      </c>
      <c r="D408" t="s">
        <v>375</v>
      </c>
      <c r="E408" t="s">
        <v>347</v>
      </c>
      <c r="F408" t="s">
        <v>348</v>
      </c>
      <c r="G408" t="s">
        <v>513</v>
      </c>
      <c r="H408" t="s">
        <v>514</v>
      </c>
      <c r="I408" t="s">
        <v>573</v>
      </c>
      <c r="J408" t="s">
        <v>574</v>
      </c>
      <c r="K408">
        <v>1819.59</v>
      </c>
      <c r="L408">
        <v>10.24</v>
      </c>
      <c r="M408" t="s">
        <v>1003</v>
      </c>
      <c r="N408">
        <v>44.646500000000003</v>
      </c>
      <c r="O408">
        <v>-123.5515</v>
      </c>
      <c r="P408">
        <v>263</v>
      </c>
      <c r="Q408">
        <v>6</v>
      </c>
      <c r="R408">
        <v>2006</v>
      </c>
      <c r="S408">
        <v>2011</v>
      </c>
      <c r="T408" t="s">
        <v>2149</v>
      </c>
      <c r="U408" t="s">
        <v>2150</v>
      </c>
      <c r="Z408">
        <v>2006</v>
      </c>
      <c r="AA408">
        <v>2011</v>
      </c>
      <c r="AB408" t="s">
        <v>720</v>
      </c>
    </row>
    <row r="409" spans="1:28" x14ac:dyDescent="0.25">
      <c r="A409" t="s">
        <v>2151</v>
      </c>
      <c r="B409" t="s">
        <v>2152</v>
      </c>
      <c r="C409" t="s">
        <v>1730</v>
      </c>
      <c r="D409" t="s">
        <v>375</v>
      </c>
      <c r="E409" t="s">
        <v>348</v>
      </c>
      <c r="F409" t="s">
        <v>348</v>
      </c>
      <c r="G409" t="s">
        <v>376</v>
      </c>
      <c r="H409" t="s">
        <v>377</v>
      </c>
      <c r="I409" t="s">
        <v>360</v>
      </c>
      <c r="J409" t="s">
        <v>361</v>
      </c>
      <c r="K409">
        <v>1120</v>
      </c>
      <c r="L409">
        <v>13.5</v>
      </c>
      <c r="M409" t="s">
        <v>1003</v>
      </c>
      <c r="N409">
        <v>40.816400000000002</v>
      </c>
      <c r="O409">
        <v>-74.043499999999995</v>
      </c>
      <c r="P409">
        <v>1</v>
      </c>
      <c r="Q409">
        <v>0</v>
      </c>
      <c r="Z409">
        <v>2009</v>
      </c>
      <c r="AA409">
        <v>2019</v>
      </c>
    </row>
    <row r="410" spans="1:28" x14ac:dyDescent="0.25">
      <c r="A410" t="s">
        <v>2153</v>
      </c>
      <c r="B410" t="s">
        <v>2154</v>
      </c>
      <c r="C410" t="s">
        <v>1190</v>
      </c>
      <c r="D410" t="s">
        <v>346</v>
      </c>
      <c r="E410" t="s">
        <v>347</v>
      </c>
      <c r="F410" t="s">
        <v>348</v>
      </c>
      <c r="G410" t="s">
        <v>349</v>
      </c>
      <c r="H410" t="s">
        <v>350</v>
      </c>
      <c r="I410" t="s">
        <v>913</v>
      </c>
      <c r="J410" t="s">
        <v>914</v>
      </c>
      <c r="K410">
        <v>374</v>
      </c>
      <c r="L410">
        <v>7</v>
      </c>
      <c r="M410" t="s">
        <v>1003</v>
      </c>
      <c r="N410">
        <v>47.4758</v>
      </c>
      <c r="O410">
        <v>-111.72069999999999</v>
      </c>
      <c r="P410">
        <v>1110</v>
      </c>
      <c r="Q410">
        <v>1</v>
      </c>
      <c r="R410">
        <v>2016</v>
      </c>
      <c r="S410">
        <v>2016</v>
      </c>
      <c r="T410">
        <v>2016</v>
      </c>
      <c r="U410" t="s">
        <v>2155</v>
      </c>
      <c r="Z410">
        <v>2016</v>
      </c>
      <c r="AA410">
        <v>2016</v>
      </c>
      <c r="AB410" t="s">
        <v>2156</v>
      </c>
    </row>
    <row r="411" spans="1:28" x14ac:dyDescent="0.25">
      <c r="A411" t="s">
        <v>2157</v>
      </c>
      <c r="B411" t="s">
        <v>2158</v>
      </c>
      <c r="C411" t="s">
        <v>2159</v>
      </c>
      <c r="D411" t="s">
        <v>346</v>
      </c>
      <c r="E411" t="s">
        <v>347</v>
      </c>
      <c r="F411" t="s">
        <v>348</v>
      </c>
      <c r="G411" t="s">
        <v>513</v>
      </c>
      <c r="H411" t="s">
        <v>514</v>
      </c>
      <c r="I411" t="s">
        <v>2076</v>
      </c>
      <c r="J411" t="s">
        <v>2077</v>
      </c>
      <c r="K411">
        <v>790</v>
      </c>
      <c r="L411">
        <v>9.3000000000000007</v>
      </c>
      <c r="M411" t="s">
        <v>1003</v>
      </c>
      <c r="N411">
        <v>32.415999999999997</v>
      </c>
      <c r="O411">
        <v>-110.7256</v>
      </c>
      <c r="P411">
        <v>2573</v>
      </c>
      <c r="Q411">
        <v>13</v>
      </c>
      <c r="R411">
        <v>2009</v>
      </c>
      <c r="S411">
        <v>2021</v>
      </c>
      <c r="T411" t="s">
        <v>1872</v>
      </c>
      <c r="U411" t="s">
        <v>2160</v>
      </c>
      <c r="Z411">
        <v>2009</v>
      </c>
      <c r="AB411" t="s">
        <v>2161</v>
      </c>
    </row>
    <row r="412" spans="1:28" x14ac:dyDescent="0.25">
      <c r="A412" t="s">
        <v>2162</v>
      </c>
      <c r="B412" t="s">
        <v>2163</v>
      </c>
      <c r="C412" t="s">
        <v>1190</v>
      </c>
      <c r="D412" t="s">
        <v>346</v>
      </c>
      <c r="E412" t="s">
        <v>347</v>
      </c>
      <c r="F412" t="s">
        <v>348</v>
      </c>
      <c r="G412" t="s">
        <v>349</v>
      </c>
      <c r="H412" t="s">
        <v>350</v>
      </c>
      <c r="I412" t="s">
        <v>913</v>
      </c>
      <c r="J412" t="s">
        <v>914</v>
      </c>
      <c r="K412">
        <v>374</v>
      </c>
      <c r="L412">
        <v>7</v>
      </c>
      <c r="M412" t="s">
        <v>1003</v>
      </c>
      <c r="N412">
        <v>47.686700000000002</v>
      </c>
      <c r="O412">
        <v>-111.4659</v>
      </c>
      <c r="P412">
        <v>1128</v>
      </c>
      <c r="Q412">
        <v>1</v>
      </c>
      <c r="R412">
        <v>2017</v>
      </c>
      <c r="S412">
        <v>2017</v>
      </c>
      <c r="T412">
        <v>2017</v>
      </c>
      <c r="U412" t="s">
        <v>2164</v>
      </c>
      <c r="Z412">
        <v>2017</v>
      </c>
      <c r="AA412">
        <v>2017</v>
      </c>
      <c r="AB412" t="s">
        <v>2165</v>
      </c>
    </row>
    <row r="413" spans="1:28" x14ac:dyDescent="0.25">
      <c r="A413" t="s">
        <v>2166</v>
      </c>
      <c r="B413" t="s">
        <v>2167</v>
      </c>
      <c r="C413" t="s">
        <v>1190</v>
      </c>
      <c r="D413" t="s">
        <v>346</v>
      </c>
      <c r="E413" t="s">
        <v>347</v>
      </c>
      <c r="F413" t="s">
        <v>348</v>
      </c>
      <c r="G413" t="s">
        <v>349</v>
      </c>
      <c r="H413" t="s">
        <v>350</v>
      </c>
      <c r="I413" t="s">
        <v>913</v>
      </c>
      <c r="J413" t="s">
        <v>914</v>
      </c>
      <c r="K413">
        <v>374</v>
      </c>
      <c r="L413">
        <v>7</v>
      </c>
      <c r="M413" t="s">
        <v>1003</v>
      </c>
      <c r="N413">
        <v>47.672899999999998</v>
      </c>
      <c r="O413">
        <v>-111.4889</v>
      </c>
      <c r="P413">
        <v>1134</v>
      </c>
      <c r="Q413">
        <v>1</v>
      </c>
      <c r="R413">
        <v>2017</v>
      </c>
      <c r="S413">
        <v>2017</v>
      </c>
      <c r="T413">
        <v>2017</v>
      </c>
      <c r="U413" t="s">
        <v>2168</v>
      </c>
      <c r="Z413">
        <v>2017</v>
      </c>
      <c r="AA413">
        <v>2017</v>
      </c>
      <c r="AB413" t="s">
        <v>2169</v>
      </c>
    </row>
    <row r="414" spans="1:28" x14ac:dyDescent="0.25">
      <c r="A414" t="s">
        <v>2170</v>
      </c>
      <c r="B414" t="s">
        <v>2171</v>
      </c>
      <c r="C414" t="s">
        <v>1376</v>
      </c>
      <c r="D414" t="s">
        <v>375</v>
      </c>
      <c r="E414" t="s">
        <v>347</v>
      </c>
      <c r="F414" t="s">
        <v>348</v>
      </c>
      <c r="G414" t="s">
        <v>349</v>
      </c>
      <c r="H414" t="s">
        <v>350</v>
      </c>
      <c r="I414" t="s">
        <v>1175</v>
      </c>
      <c r="J414" t="s">
        <v>1176</v>
      </c>
      <c r="K414">
        <v>800</v>
      </c>
      <c r="L414">
        <v>9.11</v>
      </c>
      <c r="M414" t="s">
        <v>1003</v>
      </c>
      <c r="N414">
        <v>42.214300000000001</v>
      </c>
      <c r="O414">
        <v>-84.853899999999996</v>
      </c>
      <c r="P414">
        <v>290</v>
      </c>
      <c r="Q414">
        <v>4</v>
      </c>
      <c r="R414">
        <v>2018</v>
      </c>
      <c r="S414">
        <v>2021</v>
      </c>
      <c r="T414" t="s">
        <v>1469</v>
      </c>
      <c r="U414" t="s">
        <v>2172</v>
      </c>
      <c r="Z414">
        <v>2018</v>
      </c>
      <c r="AB414" t="s">
        <v>2173</v>
      </c>
    </row>
    <row r="415" spans="1:28" x14ac:dyDescent="0.25">
      <c r="A415" t="s">
        <v>2174</v>
      </c>
      <c r="B415" t="s">
        <v>2175</v>
      </c>
      <c r="C415" t="s">
        <v>1376</v>
      </c>
      <c r="D415" t="s">
        <v>375</v>
      </c>
      <c r="E415" t="s">
        <v>347</v>
      </c>
      <c r="F415" t="s">
        <v>348</v>
      </c>
      <c r="G415" t="s">
        <v>479</v>
      </c>
      <c r="H415" t="s">
        <v>480</v>
      </c>
      <c r="I415" t="s">
        <v>1175</v>
      </c>
      <c r="J415" t="s">
        <v>1176</v>
      </c>
      <c r="K415">
        <v>842</v>
      </c>
      <c r="L415">
        <v>9</v>
      </c>
      <c r="M415" t="s">
        <v>1003</v>
      </c>
      <c r="N415">
        <v>42.366</v>
      </c>
      <c r="O415">
        <v>-85.352599999999995</v>
      </c>
      <c r="P415">
        <v>256</v>
      </c>
      <c r="Q415">
        <v>4</v>
      </c>
      <c r="R415">
        <v>2018</v>
      </c>
      <c r="S415">
        <v>2021</v>
      </c>
      <c r="T415" t="s">
        <v>1469</v>
      </c>
      <c r="U415" t="s">
        <v>2176</v>
      </c>
      <c r="Z415">
        <v>2018</v>
      </c>
      <c r="AB415" t="s">
        <v>2177</v>
      </c>
    </row>
    <row r="416" spans="1:28" x14ac:dyDescent="0.25">
      <c r="A416" t="s">
        <v>2178</v>
      </c>
      <c r="B416" t="s">
        <v>2179</v>
      </c>
      <c r="C416" t="s">
        <v>1376</v>
      </c>
      <c r="D416" t="s">
        <v>375</v>
      </c>
      <c r="E416" t="s">
        <v>347</v>
      </c>
      <c r="F416" t="s">
        <v>348</v>
      </c>
      <c r="G416" t="s">
        <v>933</v>
      </c>
      <c r="H416" t="s">
        <v>934</v>
      </c>
      <c r="I416" t="s">
        <v>1175</v>
      </c>
      <c r="J416" t="s">
        <v>1176</v>
      </c>
      <c r="K416">
        <v>807</v>
      </c>
      <c r="L416">
        <v>9.1</v>
      </c>
      <c r="M416" t="s">
        <v>1003</v>
      </c>
      <c r="N416">
        <v>42.729300000000002</v>
      </c>
      <c r="O416">
        <v>-84.473699999999994</v>
      </c>
      <c r="P416">
        <v>261</v>
      </c>
      <c r="Q416">
        <v>5</v>
      </c>
      <c r="R416">
        <v>2017</v>
      </c>
      <c r="S416">
        <v>2021</v>
      </c>
      <c r="T416" t="s">
        <v>1170</v>
      </c>
      <c r="U416" t="s">
        <v>2180</v>
      </c>
      <c r="Z416">
        <v>2018</v>
      </c>
      <c r="AB416" t="s">
        <v>2181</v>
      </c>
    </row>
    <row r="417" spans="1:28" x14ac:dyDescent="0.25">
      <c r="A417" t="s">
        <v>2182</v>
      </c>
      <c r="B417" t="s">
        <v>2183</v>
      </c>
      <c r="C417" t="s">
        <v>1376</v>
      </c>
      <c r="D417" t="s">
        <v>375</v>
      </c>
      <c r="E417" t="s">
        <v>347</v>
      </c>
      <c r="F417" t="s">
        <v>348</v>
      </c>
      <c r="G417" t="s">
        <v>933</v>
      </c>
      <c r="H417" t="s">
        <v>934</v>
      </c>
      <c r="I417" t="s">
        <v>1175</v>
      </c>
      <c r="J417" t="s">
        <v>1176</v>
      </c>
      <c r="K417">
        <v>842</v>
      </c>
      <c r="L417">
        <v>9</v>
      </c>
      <c r="M417" t="s">
        <v>1003</v>
      </c>
      <c r="N417">
        <v>42.322800000000001</v>
      </c>
      <c r="O417">
        <v>-85.187100000000001</v>
      </c>
      <c r="P417">
        <v>256</v>
      </c>
      <c r="Q417">
        <v>4</v>
      </c>
      <c r="R417">
        <v>2018</v>
      </c>
      <c r="S417">
        <v>2021</v>
      </c>
      <c r="T417" t="s">
        <v>1469</v>
      </c>
      <c r="U417" t="s">
        <v>2184</v>
      </c>
      <c r="Z417">
        <v>2018</v>
      </c>
      <c r="AB417" t="s">
        <v>2185</v>
      </c>
    </row>
    <row r="418" spans="1:28" x14ac:dyDescent="0.25">
      <c r="A418" t="s">
        <v>2186</v>
      </c>
      <c r="B418" t="s">
        <v>2187</v>
      </c>
      <c r="C418" t="s">
        <v>1376</v>
      </c>
      <c r="D418" t="s">
        <v>375</v>
      </c>
      <c r="E418" t="s">
        <v>347</v>
      </c>
      <c r="F418" t="s">
        <v>348</v>
      </c>
      <c r="G418" t="s">
        <v>376</v>
      </c>
      <c r="H418" t="s">
        <v>377</v>
      </c>
      <c r="I418" t="s">
        <v>1175</v>
      </c>
      <c r="J418" t="s">
        <v>1176</v>
      </c>
      <c r="K418">
        <v>926</v>
      </c>
      <c r="L418">
        <v>10</v>
      </c>
      <c r="M418" t="s">
        <v>1003</v>
      </c>
      <c r="N418">
        <v>42.668900000000001</v>
      </c>
      <c r="O418">
        <v>-86.022900000000007</v>
      </c>
      <c r="P418">
        <v>209</v>
      </c>
      <c r="Q418">
        <v>4</v>
      </c>
      <c r="R418">
        <v>2018</v>
      </c>
      <c r="S418">
        <v>2021</v>
      </c>
      <c r="T418" t="s">
        <v>1469</v>
      </c>
      <c r="U418" t="s">
        <v>2188</v>
      </c>
      <c r="Z418">
        <v>2018</v>
      </c>
      <c r="AB418" t="s">
        <v>2189</v>
      </c>
    </row>
    <row r="419" spans="1:28" x14ac:dyDescent="0.25">
      <c r="A419" t="s">
        <v>58</v>
      </c>
      <c r="B419" t="s">
        <v>2190</v>
      </c>
      <c r="C419" t="s">
        <v>1167</v>
      </c>
      <c r="D419" t="s">
        <v>346</v>
      </c>
      <c r="E419" t="s">
        <v>347</v>
      </c>
      <c r="F419" t="s">
        <v>347</v>
      </c>
      <c r="G419" t="s">
        <v>376</v>
      </c>
      <c r="H419" t="s">
        <v>377</v>
      </c>
      <c r="I419" t="s">
        <v>632</v>
      </c>
      <c r="J419" t="s">
        <v>633</v>
      </c>
      <c r="K419">
        <v>338</v>
      </c>
      <c r="L419">
        <v>15.9</v>
      </c>
      <c r="M419" t="s">
        <v>1003</v>
      </c>
      <c r="N419">
        <v>38.049900000000001</v>
      </c>
      <c r="O419">
        <v>-121.765</v>
      </c>
      <c r="P419">
        <v>-4</v>
      </c>
      <c r="Q419">
        <v>14</v>
      </c>
      <c r="R419">
        <v>2010</v>
      </c>
      <c r="S419">
        <v>2023</v>
      </c>
      <c r="T419" t="s">
        <v>2191</v>
      </c>
      <c r="U419" t="s">
        <v>2192</v>
      </c>
      <c r="V419">
        <v>2010</v>
      </c>
      <c r="W419">
        <v>2021</v>
      </c>
      <c r="X419" t="s">
        <v>1273</v>
      </c>
      <c r="Y419" t="s">
        <v>2193</v>
      </c>
      <c r="Z419">
        <v>2010</v>
      </c>
      <c r="AB419" t="s">
        <v>2194</v>
      </c>
    </row>
    <row r="420" spans="1:28" x14ac:dyDescent="0.25">
      <c r="A420" t="s">
        <v>2195</v>
      </c>
      <c r="B420" t="s">
        <v>2196</v>
      </c>
      <c r="C420" t="s">
        <v>1371</v>
      </c>
      <c r="D420" t="s">
        <v>346</v>
      </c>
      <c r="E420" t="s">
        <v>347</v>
      </c>
      <c r="F420" t="s">
        <v>347</v>
      </c>
      <c r="G420" t="s">
        <v>513</v>
      </c>
      <c r="H420" t="s">
        <v>514</v>
      </c>
      <c r="I420" t="s">
        <v>360</v>
      </c>
      <c r="J420" t="s">
        <v>361</v>
      </c>
      <c r="K420">
        <v>1320</v>
      </c>
      <c r="L420">
        <v>16.600000000000001</v>
      </c>
      <c r="M420" t="s">
        <v>1003</v>
      </c>
      <c r="N420">
        <v>35.811799999999998</v>
      </c>
      <c r="O420">
        <v>-76.7119</v>
      </c>
      <c r="P420">
        <v>5</v>
      </c>
      <c r="Q420">
        <v>8</v>
      </c>
      <c r="R420">
        <v>2005</v>
      </c>
      <c r="S420">
        <v>2012</v>
      </c>
      <c r="T420" t="s">
        <v>2197</v>
      </c>
      <c r="U420" t="s">
        <v>2198</v>
      </c>
      <c r="V420">
        <v>2005</v>
      </c>
      <c r="W420">
        <v>2012</v>
      </c>
      <c r="X420" t="s">
        <v>2197</v>
      </c>
      <c r="Y420" t="s">
        <v>2199</v>
      </c>
      <c r="Z420">
        <v>2005</v>
      </c>
      <c r="AA420">
        <v>2013</v>
      </c>
      <c r="AB420" t="s">
        <v>2200</v>
      </c>
    </row>
    <row r="421" spans="1:28" x14ac:dyDescent="0.25">
      <c r="A421" t="s">
        <v>2201</v>
      </c>
      <c r="B421" t="s">
        <v>2202</v>
      </c>
      <c r="C421" t="s">
        <v>1371</v>
      </c>
      <c r="D421" t="s">
        <v>346</v>
      </c>
      <c r="E421" t="s">
        <v>347</v>
      </c>
      <c r="F421" t="s">
        <v>348</v>
      </c>
      <c r="G421" t="s">
        <v>513</v>
      </c>
      <c r="H421" t="s">
        <v>514</v>
      </c>
      <c r="I421" t="s">
        <v>360</v>
      </c>
      <c r="J421" t="s">
        <v>361</v>
      </c>
      <c r="K421">
        <v>1320</v>
      </c>
      <c r="L421">
        <v>16.600000000000001</v>
      </c>
      <c r="M421" t="s">
        <v>1003</v>
      </c>
      <c r="N421">
        <v>35.802999999999997</v>
      </c>
      <c r="O421">
        <v>-76.668499999999995</v>
      </c>
      <c r="P421">
        <v>5</v>
      </c>
      <c r="Q421">
        <v>20</v>
      </c>
      <c r="R421">
        <v>2005</v>
      </c>
      <c r="S421">
        <v>2024</v>
      </c>
      <c r="T421" t="s">
        <v>2203</v>
      </c>
      <c r="U421" t="s">
        <v>2204</v>
      </c>
      <c r="Z421">
        <v>2005</v>
      </c>
      <c r="AB421" t="s">
        <v>2205</v>
      </c>
    </row>
    <row r="422" spans="1:28" x14ac:dyDescent="0.25">
      <c r="A422" t="s">
        <v>59</v>
      </c>
      <c r="B422" t="s">
        <v>2206</v>
      </c>
      <c r="C422" t="s">
        <v>1371</v>
      </c>
      <c r="D422" t="s">
        <v>346</v>
      </c>
      <c r="E422" t="s">
        <v>347</v>
      </c>
      <c r="F422" t="s">
        <v>347</v>
      </c>
      <c r="G422" t="s">
        <v>513</v>
      </c>
      <c r="H422" t="s">
        <v>514</v>
      </c>
      <c r="I422" t="s">
        <v>360</v>
      </c>
      <c r="J422" t="s">
        <v>361</v>
      </c>
      <c r="K422">
        <v>1320</v>
      </c>
      <c r="L422">
        <v>16.600000000000001</v>
      </c>
      <c r="M422" t="s">
        <v>1003</v>
      </c>
      <c r="N422">
        <v>35.798999999999999</v>
      </c>
      <c r="O422">
        <v>-76.656000000000006</v>
      </c>
      <c r="P422">
        <v>5</v>
      </c>
      <c r="Q422">
        <v>9</v>
      </c>
      <c r="R422">
        <v>2013</v>
      </c>
      <c r="S422">
        <v>2021</v>
      </c>
      <c r="T422" t="s">
        <v>2207</v>
      </c>
      <c r="U422" t="s">
        <v>2208</v>
      </c>
      <c r="V422">
        <v>2013</v>
      </c>
      <c r="W422">
        <v>2021</v>
      </c>
      <c r="X422" t="s">
        <v>2207</v>
      </c>
      <c r="Y422" t="s">
        <v>2209</v>
      </c>
      <c r="Z422">
        <v>2013</v>
      </c>
      <c r="AA422">
        <v>2021</v>
      </c>
      <c r="AB422" t="s">
        <v>2210</v>
      </c>
    </row>
    <row r="423" spans="1:28" x14ac:dyDescent="0.25">
      <c r="A423" t="s">
        <v>60</v>
      </c>
      <c r="B423" t="s">
        <v>2211</v>
      </c>
      <c r="C423" t="s">
        <v>2212</v>
      </c>
      <c r="D423" t="s">
        <v>346</v>
      </c>
      <c r="E423" t="s">
        <v>347</v>
      </c>
      <c r="F423" t="s">
        <v>347</v>
      </c>
      <c r="G423" t="s">
        <v>376</v>
      </c>
      <c r="H423" t="s">
        <v>377</v>
      </c>
      <c r="I423" t="s">
        <v>360</v>
      </c>
      <c r="J423" t="s">
        <v>361</v>
      </c>
      <c r="K423">
        <v>1311</v>
      </c>
      <c r="L423">
        <v>16.600000000000001</v>
      </c>
      <c r="M423" t="s">
        <v>1003</v>
      </c>
      <c r="N423">
        <v>35.7879</v>
      </c>
      <c r="O423">
        <v>-75.903800000000004</v>
      </c>
      <c r="P423">
        <v>1</v>
      </c>
      <c r="Q423">
        <v>13</v>
      </c>
      <c r="R423">
        <v>2009</v>
      </c>
      <c r="S423">
        <v>2021</v>
      </c>
      <c r="T423" t="s">
        <v>1872</v>
      </c>
      <c r="U423" t="s">
        <v>2213</v>
      </c>
      <c r="V423">
        <v>2009</v>
      </c>
      <c r="W423">
        <v>2021</v>
      </c>
      <c r="X423" t="s">
        <v>1872</v>
      </c>
      <c r="Y423" t="s">
        <v>2214</v>
      </c>
      <c r="Z423">
        <v>2009</v>
      </c>
      <c r="AB423" t="s">
        <v>2205</v>
      </c>
    </row>
    <row r="424" spans="1:28" x14ac:dyDescent="0.25">
      <c r="A424" t="s">
        <v>61</v>
      </c>
      <c r="B424" t="s">
        <v>2215</v>
      </c>
      <c r="C424" t="s">
        <v>2216</v>
      </c>
      <c r="D424" t="s">
        <v>346</v>
      </c>
      <c r="E424" t="s">
        <v>347</v>
      </c>
      <c r="F424" t="s">
        <v>347</v>
      </c>
      <c r="G424" t="s">
        <v>349</v>
      </c>
      <c r="H424" t="s">
        <v>350</v>
      </c>
      <c r="I424" t="s">
        <v>1175</v>
      </c>
      <c r="J424" t="s">
        <v>1176</v>
      </c>
      <c r="K424">
        <v>790.37</v>
      </c>
      <c r="L424">
        <v>10.07</v>
      </c>
      <c r="M424" t="s">
        <v>1003</v>
      </c>
      <c r="N424">
        <v>41.165100000000002</v>
      </c>
      <c r="O424">
        <v>-96.476600000000005</v>
      </c>
      <c r="P424">
        <v>361</v>
      </c>
      <c r="Q424">
        <v>24</v>
      </c>
      <c r="R424">
        <v>2001</v>
      </c>
      <c r="S424">
        <v>2024</v>
      </c>
      <c r="T424" t="s">
        <v>2217</v>
      </c>
      <c r="U424" t="s">
        <v>2218</v>
      </c>
      <c r="V424">
        <v>2001</v>
      </c>
      <c r="W424">
        <v>2020</v>
      </c>
      <c r="X424" t="s">
        <v>2219</v>
      </c>
      <c r="Y424" t="s">
        <v>2220</v>
      </c>
      <c r="Z424">
        <v>2001</v>
      </c>
      <c r="AB424" t="s">
        <v>2221</v>
      </c>
    </row>
    <row r="425" spans="1:28" x14ac:dyDescent="0.25">
      <c r="A425" t="s">
        <v>2222</v>
      </c>
      <c r="B425" t="s">
        <v>2223</v>
      </c>
      <c r="C425" t="s">
        <v>2216</v>
      </c>
      <c r="D425" t="s">
        <v>346</v>
      </c>
      <c r="E425" t="s">
        <v>347</v>
      </c>
      <c r="F425" t="s">
        <v>348</v>
      </c>
      <c r="G425" t="s">
        <v>349</v>
      </c>
      <c r="H425" t="s">
        <v>350</v>
      </c>
      <c r="I425" t="s">
        <v>1175</v>
      </c>
      <c r="J425" t="s">
        <v>1176</v>
      </c>
      <c r="K425">
        <v>788.89</v>
      </c>
      <c r="L425">
        <v>10.08</v>
      </c>
      <c r="M425" t="s">
        <v>1003</v>
      </c>
      <c r="N425">
        <v>41.164900000000003</v>
      </c>
      <c r="O425">
        <v>-96.470100000000002</v>
      </c>
      <c r="P425">
        <v>362</v>
      </c>
      <c r="Q425">
        <v>24</v>
      </c>
      <c r="R425">
        <v>2001</v>
      </c>
      <c r="S425">
        <v>2024</v>
      </c>
      <c r="T425" t="s">
        <v>2217</v>
      </c>
      <c r="U425" t="s">
        <v>2224</v>
      </c>
      <c r="Z425">
        <v>2001</v>
      </c>
      <c r="AB425" t="s">
        <v>2221</v>
      </c>
    </row>
    <row r="426" spans="1:28" x14ac:dyDescent="0.25">
      <c r="A426" t="s">
        <v>2225</v>
      </c>
      <c r="B426" t="s">
        <v>2226</v>
      </c>
      <c r="C426" t="s">
        <v>2216</v>
      </c>
      <c r="D426" t="s">
        <v>346</v>
      </c>
      <c r="E426" t="s">
        <v>347</v>
      </c>
      <c r="F426" t="s">
        <v>348</v>
      </c>
      <c r="G426" t="s">
        <v>349</v>
      </c>
      <c r="H426" t="s">
        <v>350</v>
      </c>
      <c r="I426" t="s">
        <v>1175</v>
      </c>
      <c r="J426" t="s">
        <v>1176</v>
      </c>
      <c r="K426">
        <v>783.68</v>
      </c>
      <c r="L426">
        <v>10.11</v>
      </c>
      <c r="M426" t="s">
        <v>1003</v>
      </c>
      <c r="N426">
        <v>41.179699999999997</v>
      </c>
      <c r="O426">
        <v>-96.439700000000002</v>
      </c>
      <c r="P426">
        <v>363</v>
      </c>
      <c r="Q426">
        <v>24</v>
      </c>
      <c r="R426">
        <v>2001</v>
      </c>
      <c r="S426">
        <v>2024</v>
      </c>
      <c r="T426" t="s">
        <v>2217</v>
      </c>
      <c r="U426" t="s">
        <v>2227</v>
      </c>
      <c r="Z426">
        <v>2001</v>
      </c>
      <c r="AB426" t="s">
        <v>2221</v>
      </c>
    </row>
    <row r="427" spans="1:28" x14ac:dyDescent="0.25">
      <c r="A427" t="s">
        <v>62</v>
      </c>
      <c r="B427" t="s">
        <v>2228</v>
      </c>
      <c r="C427" t="s">
        <v>1076</v>
      </c>
      <c r="D427" t="s">
        <v>346</v>
      </c>
      <c r="E427" t="s">
        <v>347</v>
      </c>
      <c r="F427" t="s">
        <v>347</v>
      </c>
      <c r="G427" t="s">
        <v>2229</v>
      </c>
      <c r="H427" t="s">
        <v>2230</v>
      </c>
      <c r="I427" t="s">
        <v>680</v>
      </c>
      <c r="J427" t="s">
        <v>681</v>
      </c>
      <c r="K427">
        <v>171</v>
      </c>
      <c r="L427">
        <v>-11.27</v>
      </c>
      <c r="M427" t="s">
        <v>1003</v>
      </c>
      <c r="N427">
        <v>71.28</v>
      </c>
      <c r="O427">
        <v>-156.60919999999999</v>
      </c>
      <c r="P427">
        <v>5.2729999999999997</v>
      </c>
      <c r="Q427">
        <v>12</v>
      </c>
      <c r="R427">
        <v>2012</v>
      </c>
      <c r="S427">
        <v>2023</v>
      </c>
      <c r="T427" t="s">
        <v>2231</v>
      </c>
      <c r="U427" t="s">
        <v>2232</v>
      </c>
      <c r="V427">
        <v>2012</v>
      </c>
      <c r="W427">
        <v>2019</v>
      </c>
      <c r="X427" t="s">
        <v>1882</v>
      </c>
      <c r="Y427" t="s">
        <v>2233</v>
      </c>
      <c r="Z427">
        <v>2012</v>
      </c>
      <c r="AA427">
        <v>2023</v>
      </c>
      <c r="AB427" t="s">
        <v>2234</v>
      </c>
    </row>
    <row r="428" spans="1:28" x14ac:dyDescent="0.25">
      <c r="A428" t="s">
        <v>63</v>
      </c>
      <c r="B428" t="s">
        <v>2235</v>
      </c>
      <c r="C428" t="s">
        <v>1076</v>
      </c>
      <c r="D428" t="s">
        <v>346</v>
      </c>
      <c r="E428" t="s">
        <v>347</v>
      </c>
      <c r="F428" t="s">
        <v>347</v>
      </c>
      <c r="G428" t="s">
        <v>367</v>
      </c>
      <c r="H428" t="s">
        <v>368</v>
      </c>
      <c r="I428" t="s">
        <v>680</v>
      </c>
      <c r="J428" t="s">
        <v>681</v>
      </c>
      <c r="M428" t="s">
        <v>1003</v>
      </c>
      <c r="N428">
        <v>64.861800000000002</v>
      </c>
      <c r="O428">
        <v>-163.7002</v>
      </c>
      <c r="P428">
        <v>35</v>
      </c>
      <c r="Q428">
        <v>7</v>
      </c>
      <c r="R428">
        <v>2017</v>
      </c>
      <c r="S428">
        <v>2023</v>
      </c>
      <c r="T428" t="s">
        <v>2114</v>
      </c>
      <c r="U428" t="s">
        <v>2236</v>
      </c>
      <c r="V428">
        <v>2017</v>
      </c>
      <c r="W428">
        <v>2023</v>
      </c>
      <c r="X428" t="s">
        <v>2114</v>
      </c>
      <c r="Y428" t="s">
        <v>2237</v>
      </c>
      <c r="Z428">
        <v>2017</v>
      </c>
      <c r="AA428">
        <v>2023</v>
      </c>
      <c r="AB428" t="s">
        <v>2238</v>
      </c>
    </row>
    <row r="429" spans="1:28" x14ac:dyDescent="0.25">
      <c r="A429" t="s">
        <v>2239</v>
      </c>
      <c r="B429" t="s">
        <v>2240</v>
      </c>
      <c r="C429" t="s">
        <v>1376</v>
      </c>
      <c r="D429" t="s">
        <v>346</v>
      </c>
      <c r="E429" t="s">
        <v>347</v>
      </c>
      <c r="F429" t="s">
        <v>348</v>
      </c>
      <c r="G429" t="s">
        <v>513</v>
      </c>
      <c r="H429" t="s">
        <v>514</v>
      </c>
      <c r="I429" t="s">
        <v>481</v>
      </c>
      <c r="J429" t="s">
        <v>482</v>
      </c>
      <c r="K429">
        <v>854.01</v>
      </c>
      <c r="L429">
        <v>4.7300000000000004</v>
      </c>
      <c r="M429" t="s">
        <v>1003</v>
      </c>
      <c r="N429">
        <v>46.646500000000003</v>
      </c>
      <c r="O429">
        <v>-88.519400000000005</v>
      </c>
      <c r="P429">
        <v>394</v>
      </c>
      <c r="Q429">
        <v>3</v>
      </c>
      <c r="R429">
        <v>2001</v>
      </c>
      <c r="S429">
        <v>2003</v>
      </c>
      <c r="T429" t="s">
        <v>2241</v>
      </c>
      <c r="U429" t="s">
        <v>2242</v>
      </c>
      <c r="Z429">
        <v>2001</v>
      </c>
      <c r="AA429">
        <v>2007</v>
      </c>
      <c r="AB429" t="s">
        <v>2243</v>
      </c>
    </row>
    <row r="430" spans="1:28" x14ac:dyDescent="0.25">
      <c r="A430" t="s">
        <v>2244</v>
      </c>
      <c r="B430" t="s">
        <v>2245</v>
      </c>
      <c r="C430" t="s">
        <v>2246</v>
      </c>
      <c r="D430" t="s">
        <v>346</v>
      </c>
      <c r="E430" t="s">
        <v>348</v>
      </c>
      <c r="F430" t="s">
        <v>348</v>
      </c>
      <c r="G430" t="s">
        <v>349</v>
      </c>
      <c r="H430" t="s">
        <v>350</v>
      </c>
      <c r="I430" t="s">
        <v>415</v>
      </c>
      <c r="J430" t="s">
        <v>416</v>
      </c>
      <c r="K430">
        <v>420</v>
      </c>
      <c r="L430">
        <v>5.4</v>
      </c>
      <c r="M430" t="s">
        <v>1003</v>
      </c>
      <c r="N430">
        <v>46.775599999999997</v>
      </c>
      <c r="O430">
        <v>-100.95099999999999</v>
      </c>
      <c r="P430">
        <v>593</v>
      </c>
      <c r="Q430">
        <v>0</v>
      </c>
      <c r="Z430">
        <v>2015</v>
      </c>
    </row>
    <row r="431" spans="1:28" x14ac:dyDescent="0.25">
      <c r="A431" t="s">
        <v>2247</v>
      </c>
      <c r="B431" t="s">
        <v>2248</v>
      </c>
      <c r="C431" t="s">
        <v>2246</v>
      </c>
      <c r="D431" t="s">
        <v>346</v>
      </c>
      <c r="E431" t="s">
        <v>348</v>
      </c>
      <c r="F431" t="s">
        <v>348</v>
      </c>
      <c r="G431" t="s">
        <v>349</v>
      </c>
      <c r="H431" t="s">
        <v>350</v>
      </c>
      <c r="I431" t="s">
        <v>415</v>
      </c>
      <c r="J431" t="s">
        <v>416</v>
      </c>
      <c r="K431">
        <v>420</v>
      </c>
      <c r="L431">
        <v>5.4</v>
      </c>
      <c r="M431" t="s">
        <v>1003</v>
      </c>
      <c r="N431">
        <v>46.761299999999999</v>
      </c>
      <c r="O431">
        <v>-100.92570000000001</v>
      </c>
      <c r="P431">
        <v>590</v>
      </c>
      <c r="Q431">
        <v>0</v>
      </c>
      <c r="Z431">
        <v>2016</v>
      </c>
    </row>
    <row r="432" spans="1:28" x14ac:dyDescent="0.25">
      <c r="A432" t="s">
        <v>2249</v>
      </c>
      <c r="B432" t="s">
        <v>2250</v>
      </c>
      <c r="C432" t="s">
        <v>2251</v>
      </c>
      <c r="D432" t="s">
        <v>346</v>
      </c>
      <c r="E432" t="s">
        <v>347</v>
      </c>
      <c r="F432" t="s">
        <v>347</v>
      </c>
      <c r="G432" t="s">
        <v>513</v>
      </c>
      <c r="H432" t="s">
        <v>514</v>
      </c>
      <c r="I432" t="s">
        <v>539</v>
      </c>
      <c r="J432" t="s">
        <v>540</v>
      </c>
      <c r="K432">
        <v>800</v>
      </c>
      <c r="L432">
        <v>1.5</v>
      </c>
      <c r="M432" t="s">
        <v>1003</v>
      </c>
      <c r="N432">
        <v>40.032899999999998</v>
      </c>
      <c r="O432">
        <v>-105.54640000000001</v>
      </c>
      <c r="P432">
        <v>3050</v>
      </c>
      <c r="Q432">
        <v>27</v>
      </c>
      <c r="R432">
        <v>1998</v>
      </c>
      <c r="S432">
        <v>2024</v>
      </c>
      <c r="T432" t="s">
        <v>2252</v>
      </c>
      <c r="U432" t="s">
        <v>2253</v>
      </c>
      <c r="V432">
        <v>1998</v>
      </c>
      <c r="W432">
        <v>2016</v>
      </c>
      <c r="X432" t="s">
        <v>2254</v>
      </c>
      <c r="Y432" t="s">
        <v>2255</v>
      </c>
      <c r="Z432">
        <v>1998</v>
      </c>
      <c r="AB432" t="s">
        <v>2256</v>
      </c>
    </row>
    <row r="433" spans="1:28" x14ac:dyDescent="0.25">
      <c r="A433" t="s">
        <v>2257</v>
      </c>
      <c r="B433" t="s">
        <v>2258</v>
      </c>
      <c r="C433" t="s">
        <v>2259</v>
      </c>
      <c r="D433" t="s">
        <v>375</v>
      </c>
      <c r="E433" t="s">
        <v>348</v>
      </c>
      <c r="F433" t="s">
        <v>348</v>
      </c>
      <c r="G433" t="s">
        <v>513</v>
      </c>
      <c r="H433" t="s">
        <v>514</v>
      </c>
      <c r="I433" t="s">
        <v>539</v>
      </c>
      <c r="J433" t="s">
        <v>540</v>
      </c>
      <c r="K433">
        <v>595.37</v>
      </c>
      <c r="L433">
        <v>0.43</v>
      </c>
      <c r="M433" t="s">
        <v>1003</v>
      </c>
      <c r="N433">
        <v>40.032499999999999</v>
      </c>
      <c r="O433">
        <v>-105.54689999999999</v>
      </c>
      <c r="P433">
        <v>3030</v>
      </c>
      <c r="Q433">
        <v>0</v>
      </c>
      <c r="Z433">
        <v>2000</v>
      </c>
      <c r="AA433">
        <v>2016</v>
      </c>
    </row>
    <row r="434" spans="1:28" x14ac:dyDescent="0.25">
      <c r="A434" t="s">
        <v>2260</v>
      </c>
      <c r="B434" t="s">
        <v>2261</v>
      </c>
      <c r="C434" t="s">
        <v>1158</v>
      </c>
      <c r="D434" t="s">
        <v>346</v>
      </c>
      <c r="E434" t="s">
        <v>347</v>
      </c>
      <c r="F434" t="s">
        <v>348</v>
      </c>
      <c r="G434" t="s">
        <v>367</v>
      </c>
      <c r="H434" t="s">
        <v>368</v>
      </c>
      <c r="I434" t="s">
        <v>680</v>
      </c>
      <c r="J434" t="s">
        <v>681</v>
      </c>
      <c r="K434">
        <v>884</v>
      </c>
      <c r="L434">
        <v>-2.2000000000000002</v>
      </c>
      <c r="M434" t="s">
        <v>1003</v>
      </c>
      <c r="N434">
        <v>40.052</v>
      </c>
      <c r="O434">
        <v>-105.5864</v>
      </c>
      <c r="P434">
        <v>3504</v>
      </c>
      <c r="Q434">
        <v>17</v>
      </c>
      <c r="R434">
        <v>2007</v>
      </c>
      <c r="S434">
        <v>2023</v>
      </c>
      <c r="T434" t="s">
        <v>1776</v>
      </c>
      <c r="U434" t="s">
        <v>2262</v>
      </c>
      <c r="Z434">
        <v>2007</v>
      </c>
      <c r="AB434" t="s">
        <v>2263</v>
      </c>
    </row>
    <row r="435" spans="1:28" x14ac:dyDescent="0.25">
      <c r="A435" t="s">
        <v>2264</v>
      </c>
      <c r="B435" t="s">
        <v>2265</v>
      </c>
      <c r="C435" t="s">
        <v>1158</v>
      </c>
      <c r="D435" t="s">
        <v>346</v>
      </c>
      <c r="E435" t="s">
        <v>347</v>
      </c>
      <c r="F435" t="s">
        <v>348</v>
      </c>
      <c r="G435" t="s">
        <v>367</v>
      </c>
      <c r="H435" t="s">
        <v>368</v>
      </c>
      <c r="I435" t="s">
        <v>680</v>
      </c>
      <c r="J435" t="s">
        <v>681</v>
      </c>
      <c r="K435">
        <v>884</v>
      </c>
      <c r="L435">
        <v>-2.2000000000000002</v>
      </c>
      <c r="M435" t="s">
        <v>1003</v>
      </c>
      <c r="N435">
        <v>40.052</v>
      </c>
      <c r="O435">
        <v>-105.5859</v>
      </c>
      <c r="P435">
        <v>3502</v>
      </c>
      <c r="Q435">
        <v>17</v>
      </c>
      <c r="R435">
        <v>2007</v>
      </c>
      <c r="S435">
        <v>2023</v>
      </c>
      <c r="T435" t="s">
        <v>1776</v>
      </c>
      <c r="U435" t="s">
        <v>2266</v>
      </c>
      <c r="Z435">
        <v>2007</v>
      </c>
      <c r="AB435" t="s">
        <v>2267</v>
      </c>
    </row>
    <row r="436" spans="1:28" x14ac:dyDescent="0.25">
      <c r="A436" t="s">
        <v>2268</v>
      </c>
      <c r="B436" t="s">
        <v>2269</v>
      </c>
      <c r="C436" t="s">
        <v>2270</v>
      </c>
      <c r="D436" t="s">
        <v>346</v>
      </c>
      <c r="E436" t="s">
        <v>348</v>
      </c>
      <c r="F436" t="s">
        <v>348</v>
      </c>
      <c r="G436" t="s">
        <v>376</v>
      </c>
      <c r="H436" t="s">
        <v>377</v>
      </c>
      <c r="I436" t="s">
        <v>573</v>
      </c>
      <c r="J436" t="s">
        <v>574</v>
      </c>
      <c r="K436">
        <v>1269</v>
      </c>
      <c r="L436">
        <v>10.3</v>
      </c>
      <c r="M436" t="s">
        <v>1003</v>
      </c>
      <c r="N436">
        <v>47.093499999999999</v>
      </c>
      <c r="O436">
        <v>-122.6927</v>
      </c>
      <c r="P436">
        <v>8</v>
      </c>
      <c r="Q436">
        <v>0</v>
      </c>
      <c r="Z436">
        <v>2017</v>
      </c>
    </row>
    <row r="437" spans="1:28" x14ac:dyDescent="0.25">
      <c r="A437" t="s">
        <v>2271</v>
      </c>
      <c r="B437" t="s">
        <v>2272</v>
      </c>
      <c r="C437" t="s">
        <v>2270</v>
      </c>
      <c r="D437" t="s">
        <v>346</v>
      </c>
      <c r="E437" t="s">
        <v>348</v>
      </c>
      <c r="F437" t="s">
        <v>348</v>
      </c>
      <c r="G437" t="s">
        <v>376</v>
      </c>
      <c r="H437" t="s">
        <v>377</v>
      </c>
      <c r="I437" t="s">
        <v>573</v>
      </c>
      <c r="J437" t="s">
        <v>574</v>
      </c>
      <c r="K437">
        <v>1269</v>
      </c>
      <c r="L437">
        <v>10.3</v>
      </c>
      <c r="M437" t="s">
        <v>1003</v>
      </c>
      <c r="N437">
        <v>47.093600000000002</v>
      </c>
      <c r="O437">
        <v>-122.7079</v>
      </c>
      <c r="P437">
        <v>8</v>
      </c>
      <c r="Q437">
        <v>0</v>
      </c>
      <c r="Z437">
        <v>2017</v>
      </c>
    </row>
    <row r="438" spans="1:28" x14ac:dyDescent="0.25">
      <c r="A438" t="s">
        <v>2273</v>
      </c>
      <c r="B438" t="s">
        <v>2274</v>
      </c>
      <c r="C438" t="s">
        <v>2275</v>
      </c>
      <c r="D438" t="s">
        <v>375</v>
      </c>
      <c r="E438" t="s">
        <v>348</v>
      </c>
      <c r="F438" t="s">
        <v>348</v>
      </c>
      <c r="G438" t="s">
        <v>367</v>
      </c>
      <c r="H438" t="s">
        <v>368</v>
      </c>
      <c r="I438" t="s">
        <v>573</v>
      </c>
      <c r="J438" t="s">
        <v>574</v>
      </c>
      <c r="K438">
        <v>294</v>
      </c>
      <c r="L438">
        <v>17.899999999999999</v>
      </c>
      <c r="M438" t="s">
        <v>1003</v>
      </c>
      <c r="N438">
        <v>37.309100000000001</v>
      </c>
      <c r="O438">
        <v>-121.0042</v>
      </c>
      <c r="P438">
        <v>23.5</v>
      </c>
      <c r="Q438">
        <v>0</v>
      </c>
      <c r="Z438">
        <v>2022</v>
      </c>
    </row>
    <row r="439" spans="1:28" x14ac:dyDescent="0.25">
      <c r="A439" t="s">
        <v>2276</v>
      </c>
      <c r="B439" t="s">
        <v>2277</v>
      </c>
      <c r="C439" t="s">
        <v>2278</v>
      </c>
      <c r="D439" t="s">
        <v>346</v>
      </c>
      <c r="E439" t="s">
        <v>348</v>
      </c>
      <c r="F439" t="s">
        <v>348</v>
      </c>
      <c r="G439" t="s">
        <v>349</v>
      </c>
      <c r="H439" t="s">
        <v>350</v>
      </c>
      <c r="I439" t="s">
        <v>360</v>
      </c>
      <c r="J439" t="s">
        <v>361</v>
      </c>
      <c r="K439">
        <v>1277.0999999999999</v>
      </c>
      <c r="L439">
        <v>16.3</v>
      </c>
      <c r="M439" t="s">
        <v>1003</v>
      </c>
      <c r="N439">
        <v>35.737099999999998</v>
      </c>
      <c r="O439">
        <v>-90.049199999999999</v>
      </c>
      <c r="P439">
        <v>69.8</v>
      </c>
      <c r="Q439">
        <v>0</v>
      </c>
    </row>
    <row r="440" spans="1:28" x14ac:dyDescent="0.25">
      <c r="A440" t="s">
        <v>2279</v>
      </c>
      <c r="B440" t="s">
        <v>2280</v>
      </c>
      <c r="C440" t="s">
        <v>2278</v>
      </c>
      <c r="D440" t="s">
        <v>346</v>
      </c>
      <c r="E440" t="s">
        <v>348</v>
      </c>
      <c r="F440" t="s">
        <v>348</v>
      </c>
      <c r="G440" t="s">
        <v>349</v>
      </c>
      <c r="H440" t="s">
        <v>350</v>
      </c>
      <c r="I440" t="s">
        <v>360</v>
      </c>
      <c r="J440" t="s">
        <v>361</v>
      </c>
      <c r="K440">
        <v>1277.0999999999999</v>
      </c>
      <c r="L440">
        <v>16.3</v>
      </c>
      <c r="M440" t="s">
        <v>1003</v>
      </c>
      <c r="N440">
        <v>35.740600000000001</v>
      </c>
      <c r="O440">
        <v>-90.048900000000003</v>
      </c>
      <c r="P440">
        <v>69.400000000000006</v>
      </c>
      <c r="Q440">
        <v>0</v>
      </c>
    </row>
    <row r="441" spans="1:28" x14ac:dyDescent="0.25">
      <c r="A441" t="s">
        <v>2281</v>
      </c>
      <c r="B441" t="s">
        <v>2282</v>
      </c>
      <c r="C441" t="s">
        <v>2283</v>
      </c>
      <c r="D441" t="s">
        <v>375</v>
      </c>
      <c r="E441" t="s">
        <v>348</v>
      </c>
      <c r="F441" t="s">
        <v>348</v>
      </c>
      <c r="G441" t="s">
        <v>349</v>
      </c>
      <c r="H441" t="s">
        <v>350</v>
      </c>
      <c r="I441" t="s">
        <v>481</v>
      </c>
      <c r="J441" t="s">
        <v>482</v>
      </c>
      <c r="K441">
        <v>975.36</v>
      </c>
      <c r="L441">
        <v>9.5500000000000007</v>
      </c>
      <c r="M441" t="s">
        <v>1003</v>
      </c>
      <c r="N441">
        <v>41.534799999999997</v>
      </c>
      <c r="O441">
        <v>-84.806799999999996</v>
      </c>
      <c r="P441">
        <v>274.93</v>
      </c>
      <c r="Q441">
        <v>0</v>
      </c>
      <c r="Z441">
        <v>2020</v>
      </c>
    </row>
    <row r="442" spans="1:28" x14ac:dyDescent="0.25">
      <c r="A442" t="s">
        <v>2284</v>
      </c>
      <c r="B442" t="s">
        <v>2285</v>
      </c>
      <c r="C442" t="s">
        <v>2283</v>
      </c>
      <c r="D442" t="s">
        <v>375</v>
      </c>
      <c r="E442" t="s">
        <v>348</v>
      </c>
      <c r="F442" t="s">
        <v>348</v>
      </c>
      <c r="G442" t="s">
        <v>349</v>
      </c>
      <c r="H442" t="s">
        <v>350</v>
      </c>
      <c r="I442" t="s">
        <v>481</v>
      </c>
      <c r="J442" t="s">
        <v>482</v>
      </c>
      <c r="K442">
        <v>975.36</v>
      </c>
      <c r="L442">
        <v>9.5500000000000007</v>
      </c>
      <c r="M442" t="s">
        <v>1003</v>
      </c>
      <c r="N442">
        <v>41.765999999999998</v>
      </c>
      <c r="O442">
        <v>-111.855</v>
      </c>
      <c r="P442">
        <v>274.01499999999999</v>
      </c>
      <c r="Q442">
        <v>0</v>
      </c>
      <c r="Z442">
        <v>2020</v>
      </c>
    </row>
    <row r="443" spans="1:28" x14ac:dyDescent="0.25">
      <c r="A443" t="s">
        <v>64</v>
      </c>
      <c r="B443" t="s">
        <v>2286</v>
      </c>
      <c r="C443" t="s">
        <v>2287</v>
      </c>
      <c r="D443" t="s">
        <v>346</v>
      </c>
      <c r="E443" t="s">
        <v>347</v>
      </c>
      <c r="F443" t="s">
        <v>347</v>
      </c>
      <c r="G443" t="s">
        <v>367</v>
      </c>
      <c r="H443" t="s">
        <v>368</v>
      </c>
      <c r="I443" t="s">
        <v>360</v>
      </c>
      <c r="J443" t="s">
        <v>361</v>
      </c>
      <c r="K443">
        <v>1268</v>
      </c>
      <c r="L443">
        <v>22.3</v>
      </c>
      <c r="M443" t="s">
        <v>1003</v>
      </c>
      <c r="N443">
        <v>27.383600000000001</v>
      </c>
      <c r="O443">
        <v>-81.950900000000004</v>
      </c>
      <c r="P443">
        <v>25</v>
      </c>
      <c r="Q443">
        <v>7</v>
      </c>
      <c r="R443">
        <v>2016</v>
      </c>
      <c r="S443">
        <v>2022</v>
      </c>
      <c r="T443" t="s">
        <v>1697</v>
      </c>
      <c r="U443" t="s">
        <v>2288</v>
      </c>
      <c r="V443">
        <v>2016</v>
      </c>
      <c r="W443">
        <v>2022</v>
      </c>
      <c r="X443" t="s">
        <v>1697</v>
      </c>
      <c r="Y443" t="s">
        <v>2289</v>
      </c>
      <c r="Z443">
        <v>2016</v>
      </c>
      <c r="AB443" t="s">
        <v>2290</v>
      </c>
    </row>
    <row r="444" spans="1:28" x14ac:dyDescent="0.25">
      <c r="A444" t="s">
        <v>2291</v>
      </c>
      <c r="B444" t="s">
        <v>2292</v>
      </c>
      <c r="C444" t="s">
        <v>2293</v>
      </c>
      <c r="D444" t="s">
        <v>375</v>
      </c>
      <c r="E444" t="s">
        <v>347</v>
      </c>
      <c r="F444" t="s">
        <v>348</v>
      </c>
      <c r="G444" t="s">
        <v>349</v>
      </c>
      <c r="H444" t="s">
        <v>350</v>
      </c>
      <c r="I444" t="s">
        <v>360</v>
      </c>
      <c r="J444" t="s">
        <v>361</v>
      </c>
      <c r="K444">
        <v>1192</v>
      </c>
      <c r="L444">
        <v>13</v>
      </c>
      <c r="M444" t="s">
        <v>1003</v>
      </c>
      <c r="N444">
        <v>39.029299999999999</v>
      </c>
      <c r="O444">
        <v>-76.845699999999994</v>
      </c>
      <c r="P444">
        <v>40</v>
      </c>
      <c r="Q444">
        <v>1</v>
      </c>
      <c r="R444">
        <v>2022</v>
      </c>
      <c r="S444">
        <v>2022</v>
      </c>
      <c r="T444">
        <v>2022</v>
      </c>
      <c r="U444" t="s">
        <v>2294</v>
      </c>
      <c r="Z444">
        <v>2016</v>
      </c>
      <c r="AB444" t="s">
        <v>2295</v>
      </c>
    </row>
    <row r="445" spans="1:28" x14ac:dyDescent="0.25">
      <c r="A445" t="s">
        <v>2296</v>
      </c>
      <c r="B445" t="s">
        <v>2297</v>
      </c>
      <c r="C445" t="s">
        <v>2298</v>
      </c>
      <c r="D445" t="s">
        <v>346</v>
      </c>
      <c r="E445" t="s">
        <v>347</v>
      </c>
      <c r="F445" t="s">
        <v>347</v>
      </c>
      <c r="G445" t="s">
        <v>376</v>
      </c>
      <c r="H445" t="s">
        <v>377</v>
      </c>
      <c r="I445" t="s">
        <v>360</v>
      </c>
      <c r="J445" t="s">
        <v>361</v>
      </c>
      <c r="K445">
        <v>1499.1</v>
      </c>
      <c r="L445">
        <v>11.63</v>
      </c>
      <c r="M445" t="s">
        <v>1003</v>
      </c>
      <c r="N445">
        <v>40.020099999999999</v>
      </c>
      <c r="O445">
        <v>-83.018299999999996</v>
      </c>
      <c r="P445">
        <v>221</v>
      </c>
      <c r="Q445">
        <v>6</v>
      </c>
      <c r="R445">
        <v>2011</v>
      </c>
      <c r="S445">
        <v>2016</v>
      </c>
      <c r="T445" t="s">
        <v>2299</v>
      </c>
      <c r="U445" t="s">
        <v>2300</v>
      </c>
      <c r="V445">
        <v>2011</v>
      </c>
      <c r="W445">
        <v>2016</v>
      </c>
      <c r="X445" t="s">
        <v>2299</v>
      </c>
      <c r="Y445" t="s">
        <v>2301</v>
      </c>
      <c r="Z445">
        <v>2011</v>
      </c>
      <c r="AA445">
        <v>2016</v>
      </c>
      <c r="AB445" t="s">
        <v>2302</v>
      </c>
    </row>
    <row r="446" spans="1:28" x14ac:dyDescent="0.25">
      <c r="A446" t="s">
        <v>2303</v>
      </c>
      <c r="B446" t="s">
        <v>2304</v>
      </c>
      <c r="C446" t="s">
        <v>2298</v>
      </c>
      <c r="D446" t="s">
        <v>346</v>
      </c>
      <c r="E446" t="s">
        <v>347</v>
      </c>
      <c r="F446" t="s">
        <v>347</v>
      </c>
      <c r="G446" t="s">
        <v>376</v>
      </c>
      <c r="H446" t="s">
        <v>377</v>
      </c>
      <c r="I446" t="s">
        <v>481</v>
      </c>
      <c r="J446" t="s">
        <v>482</v>
      </c>
      <c r="K446">
        <v>930</v>
      </c>
      <c r="L446">
        <v>10.7</v>
      </c>
      <c r="M446" t="s">
        <v>1003</v>
      </c>
      <c r="N446">
        <v>41.3795</v>
      </c>
      <c r="O446">
        <v>-82.512500000000003</v>
      </c>
      <c r="P446">
        <v>174</v>
      </c>
      <c r="Q446">
        <v>10</v>
      </c>
      <c r="R446">
        <v>2015</v>
      </c>
      <c r="S446">
        <v>2024</v>
      </c>
      <c r="T446" t="s">
        <v>1051</v>
      </c>
      <c r="U446" t="s">
        <v>2305</v>
      </c>
      <c r="V446">
        <v>2015</v>
      </c>
      <c r="W446">
        <v>2016</v>
      </c>
      <c r="X446" t="s">
        <v>2306</v>
      </c>
      <c r="Y446" t="s">
        <v>2307</v>
      </c>
      <c r="Z446">
        <v>2015</v>
      </c>
      <c r="AB446" t="s">
        <v>2308</v>
      </c>
    </row>
    <row r="447" spans="1:28" x14ac:dyDescent="0.25">
      <c r="A447" t="s">
        <v>2309</v>
      </c>
      <c r="B447" t="s">
        <v>2310</v>
      </c>
      <c r="C447" t="s">
        <v>2311</v>
      </c>
      <c r="D447" t="s">
        <v>346</v>
      </c>
      <c r="E447" t="s">
        <v>347</v>
      </c>
      <c r="F447" t="s">
        <v>348</v>
      </c>
      <c r="G447" t="s">
        <v>367</v>
      </c>
      <c r="H447" t="s">
        <v>368</v>
      </c>
      <c r="I447" t="s">
        <v>360</v>
      </c>
      <c r="J447" t="s">
        <v>361</v>
      </c>
      <c r="K447">
        <v>1268</v>
      </c>
      <c r="L447">
        <v>22.3</v>
      </c>
      <c r="M447" t="s">
        <v>1003</v>
      </c>
      <c r="N447">
        <v>27.394400000000001</v>
      </c>
      <c r="O447">
        <v>-81.950999999999993</v>
      </c>
      <c r="P447">
        <v>27.1</v>
      </c>
      <c r="Q447">
        <v>2</v>
      </c>
      <c r="R447">
        <v>2021</v>
      </c>
      <c r="S447">
        <v>2022</v>
      </c>
      <c r="T447" t="s">
        <v>1907</v>
      </c>
      <c r="U447" t="s">
        <v>2312</v>
      </c>
      <c r="Z447">
        <v>2021</v>
      </c>
      <c r="AB447" t="s">
        <v>2290</v>
      </c>
    </row>
    <row r="448" spans="1:28" x14ac:dyDescent="0.25">
      <c r="A448" t="s">
        <v>2313</v>
      </c>
      <c r="B448" t="s">
        <v>2314</v>
      </c>
      <c r="C448" t="s">
        <v>2315</v>
      </c>
      <c r="D448" t="s">
        <v>346</v>
      </c>
      <c r="E448" t="s">
        <v>348</v>
      </c>
      <c r="F448" t="s">
        <v>348</v>
      </c>
      <c r="G448" t="s">
        <v>428</v>
      </c>
      <c r="H448" t="s">
        <v>429</v>
      </c>
      <c r="I448" t="s">
        <v>935</v>
      </c>
      <c r="J448" t="s">
        <v>936</v>
      </c>
      <c r="K448">
        <v>232.66</v>
      </c>
      <c r="L448">
        <v>14.72</v>
      </c>
      <c r="M448" t="s">
        <v>1003</v>
      </c>
      <c r="N448">
        <v>31.412299999999998</v>
      </c>
      <c r="O448">
        <v>-106.0788</v>
      </c>
      <c r="P448">
        <v>1092</v>
      </c>
      <c r="Q448">
        <v>0</v>
      </c>
      <c r="Z448">
        <v>2022</v>
      </c>
    </row>
    <row r="449" spans="1:28" x14ac:dyDescent="0.25">
      <c r="A449" t="s">
        <v>2316</v>
      </c>
      <c r="B449" t="s">
        <v>2317</v>
      </c>
      <c r="C449" t="s">
        <v>1050</v>
      </c>
      <c r="D449" t="s">
        <v>346</v>
      </c>
      <c r="E449" t="s">
        <v>347</v>
      </c>
      <c r="F449" t="s">
        <v>348</v>
      </c>
      <c r="G449" t="s">
        <v>479</v>
      </c>
      <c r="H449" t="s">
        <v>480</v>
      </c>
      <c r="I449" t="s">
        <v>481</v>
      </c>
      <c r="J449" t="s">
        <v>482</v>
      </c>
      <c r="K449">
        <v>823</v>
      </c>
      <c r="L449">
        <v>4.33</v>
      </c>
      <c r="M449" t="s">
        <v>1003</v>
      </c>
      <c r="N449">
        <v>45.945900000000002</v>
      </c>
      <c r="O449">
        <v>-90.272300000000001</v>
      </c>
      <c r="P449">
        <v>470</v>
      </c>
      <c r="Q449">
        <v>30</v>
      </c>
      <c r="R449">
        <v>1995</v>
      </c>
      <c r="S449">
        <v>2024</v>
      </c>
      <c r="T449" t="s">
        <v>2318</v>
      </c>
      <c r="U449" t="s">
        <v>2319</v>
      </c>
      <c r="Z449">
        <v>1996</v>
      </c>
      <c r="AB449" t="s">
        <v>2320</v>
      </c>
    </row>
    <row r="450" spans="1:28" x14ac:dyDescent="0.25">
      <c r="A450" t="s">
        <v>2321</v>
      </c>
      <c r="B450" t="s">
        <v>2322</v>
      </c>
      <c r="C450" t="s">
        <v>1050</v>
      </c>
      <c r="D450" t="s">
        <v>346</v>
      </c>
      <c r="E450" t="s">
        <v>347</v>
      </c>
      <c r="F450" t="s">
        <v>347</v>
      </c>
      <c r="G450" t="s">
        <v>513</v>
      </c>
      <c r="H450" t="s">
        <v>514</v>
      </c>
      <c r="I450" t="s">
        <v>481</v>
      </c>
      <c r="J450" t="s">
        <v>482</v>
      </c>
      <c r="K450">
        <v>823</v>
      </c>
      <c r="L450">
        <v>4.33</v>
      </c>
      <c r="M450" t="s">
        <v>1003</v>
      </c>
      <c r="N450">
        <v>45.972000000000001</v>
      </c>
      <c r="O450">
        <v>-90.3232</v>
      </c>
      <c r="P450">
        <v>474</v>
      </c>
      <c r="Q450">
        <v>1</v>
      </c>
      <c r="R450">
        <v>2019</v>
      </c>
      <c r="S450">
        <v>2019</v>
      </c>
      <c r="T450">
        <v>2019</v>
      </c>
      <c r="U450" t="s">
        <v>2323</v>
      </c>
      <c r="V450">
        <v>2019</v>
      </c>
      <c r="W450">
        <v>2019</v>
      </c>
      <c r="X450">
        <v>2019</v>
      </c>
      <c r="Y450" t="s">
        <v>2324</v>
      </c>
      <c r="Z450">
        <v>2019</v>
      </c>
      <c r="AA450">
        <v>2019</v>
      </c>
      <c r="AB450" t="s">
        <v>2325</v>
      </c>
    </row>
    <row r="451" spans="1:28" x14ac:dyDescent="0.25">
      <c r="A451" t="s">
        <v>2326</v>
      </c>
      <c r="B451" t="s">
        <v>2327</v>
      </c>
      <c r="C451" t="s">
        <v>1050</v>
      </c>
      <c r="D451" t="s">
        <v>346</v>
      </c>
      <c r="E451" t="s">
        <v>347</v>
      </c>
      <c r="F451" t="s">
        <v>347</v>
      </c>
      <c r="G451" t="s">
        <v>428</v>
      </c>
      <c r="H451" t="s">
        <v>429</v>
      </c>
      <c r="I451" t="s">
        <v>481</v>
      </c>
      <c r="J451" t="s">
        <v>482</v>
      </c>
      <c r="K451">
        <v>823</v>
      </c>
      <c r="L451">
        <v>4.33</v>
      </c>
      <c r="M451" t="s">
        <v>1003</v>
      </c>
      <c r="N451">
        <v>45.967700000000001</v>
      </c>
      <c r="O451">
        <v>-90.308800000000005</v>
      </c>
      <c r="P451">
        <v>473</v>
      </c>
      <c r="Q451">
        <v>1</v>
      </c>
      <c r="R451">
        <v>2019</v>
      </c>
      <c r="S451">
        <v>2019</v>
      </c>
      <c r="T451">
        <v>2019</v>
      </c>
      <c r="U451" t="s">
        <v>2328</v>
      </c>
      <c r="V451">
        <v>2019</v>
      </c>
      <c r="W451">
        <v>2019</v>
      </c>
      <c r="X451">
        <v>2019</v>
      </c>
      <c r="Y451" t="s">
        <v>2329</v>
      </c>
      <c r="Z451">
        <v>2019</v>
      </c>
      <c r="AA451">
        <v>2019</v>
      </c>
      <c r="AB451" t="s">
        <v>2325</v>
      </c>
    </row>
    <row r="452" spans="1:28" x14ac:dyDescent="0.25">
      <c r="A452" t="s">
        <v>2330</v>
      </c>
      <c r="B452" t="s">
        <v>2331</v>
      </c>
      <c r="C452" t="s">
        <v>1050</v>
      </c>
      <c r="D452" t="s">
        <v>346</v>
      </c>
      <c r="E452" t="s">
        <v>347</v>
      </c>
      <c r="F452" t="s">
        <v>347</v>
      </c>
      <c r="G452" t="s">
        <v>376</v>
      </c>
      <c r="H452" t="s">
        <v>377</v>
      </c>
      <c r="I452" t="s">
        <v>481</v>
      </c>
      <c r="J452" t="s">
        <v>482</v>
      </c>
      <c r="K452">
        <v>823</v>
      </c>
      <c r="L452">
        <v>4.33</v>
      </c>
      <c r="M452" t="s">
        <v>1003</v>
      </c>
      <c r="N452">
        <v>45.968899999999998</v>
      </c>
      <c r="O452">
        <v>-90.301000000000002</v>
      </c>
      <c r="P452">
        <v>473</v>
      </c>
      <c r="Q452">
        <v>1</v>
      </c>
      <c r="R452">
        <v>2019</v>
      </c>
      <c r="S452">
        <v>2019</v>
      </c>
      <c r="T452">
        <v>2019</v>
      </c>
      <c r="U452" t="s">
        <v>2332</v>
      </c>
      <c r="V452">
        <v>2019</v>
      </c>
      <c r="W452">
        <v>2019</v>
      </c>
      <c r="X452">
        <v>2019</v>
      </c>
      <c r="Y452" t="s">
        <v>2333</v>
      </c>
      <c r="Z452">
        <v>2019</v>
      </c>
      <c r="AA452">
        <v>2019</v>
      </c>
      <c r="AB452" t="s">
        <v>2325</v>
      </c>
    </row>
    <row r="453" spans="1:28" x14ac:dyDescent="0.25">
      <c r="A453" t="s">
        <v>2334</v>
      </c>
      <c r="B453" t="s">
        <v>2335</v>
      </c>
      <c r="C453" t="s">
        <v>1050</v>
      </c>
      <c r="D453" t="s">
        <v>346</v>
      </c>
      <c r="E453" t="s">
        <v>347</v>
      </c>
      <c r="F453" t="s">
        <v>348</v>
      </c>
      <c r="G453" t="s">
        <v>918</v>
      </c>
      <c r="H453" t="s">
        <v>919</v>
      </c>
      <c r="I453" t="s">
        <v>481</v>
      </c>
      <c r="J453" t="s">
        <v>482</v>
      </c>
      <c r="K453">
        <v>823</v>
      </c>
      <c r="L453">
        <v>4.33</v>
      </c>
      <c r="M453" t="s">
        <v>1003</v>
      </c>
      <c r="N453">
        <v>45.979300000000002</v>
      </c>
      <c r="O453">
        <v>-90.300399999999996</v>
      </c>
      <c r="P453">
        <v>480</v>
      </c>
      <c r="Q453">
        <v>1</v>
      </c>
      <c r="R453">
        <v>2019</v>
      </c>
      <c r="S453">
        <v>2019</v>
      </c>
      <c r="T453">
        <v>2019</v>
      </c>
      <c r="U453" t="s">
        <v>2336</v>
      </c>
      <c r="Z453">
        <v>2019</v>
      </c>
      <c r="AA453">
        <v>2019</v>
      </c>
      <c r="AB453" t="s">
        <v>2325</v>
      </c>
    </row>
    <row r="454" spans="1:28" x14ac:dyDescent="0.25">
      <c r="A454" t="s">
        <v>2337</v>
      </c>
      <c r="B454" t="s">
        <v>2338</v>
      </c>
      <c r="C454" t="s">
        <v>1050</v>
      </c>
      <c r="D454" t="s">
        <v>346</v>
      </c>
      <c r="E454" t="s">
        <v>347</v>
      </c>
      <c r="F454" t="s">
        <v>348</v>
      </c>
      <c r="G454" t="s">
        <v>367</v>
      </c>
      <c r="H454" t="s">
        <v>368</v>
      </c>
      <c r="I454" t="s">
        <v>481</v>
      </c>
      <c r="J454" t="s">
        <v>482</v>
      </c>
      <c r="K454">
        <v>823</v>
      </c>
      <c r="L454">
        <v>4.33</v>
      </c>
      <c r="M454" t="s">
        <v>1003</v>
      </c>
      <c r="N454">
        <v>45.945799999999998</v>
      </c>
      <c r="O454">
        <v>-90.294399999999996</v>
      </c>
      <c r="P454">
        <v>464</v>
      </c>
      <c r="Q454">
        <v>1</v>
      </c>
      <c r="R454">
        <v>2019</v>
      </c>
      <c r="S454">
        <v>2019</v>
      </c>
      <c r="T454">
        <v>2019</v>
      </c>
      <c r="U454" t="s">
        <v>2339</v>
      </c>
      <c r="Z454">
        <v>2019</v>
      </c>
      <c r="AA454">
        <v>2019</v>
      </c>
      <c r="AB454" t="s">
        <v>2340</v>
      </c>
    </row>
    <row r="455" spans="1:28" x14ac:dyDescent="0.25">
      <c r="A455" t="s">
        <v>2341</v>
      </c>
      <c r="B455" t="s">
        <v>2342</v>
      </c>
      <c r="C455" t="s">
        <v>1050</v>
      </c>
      <c r="D455" t="s">
        <v>346</v>
      </c>
      <c r="E455" t="s">
        <v>347</v>
      </c>
      <c r="F455" t="s">
        <v>348</v>
      </c>
      <c r="G455" t="s">
        <v>513</v>
      </c>
      <c r="H455" t="s">
        <v>514</v>
      </c>
      <c r="I455" t="s">
        <v>481</v>
      </c>
      <c r="J455" t="s">
        <v>482</v>
      </c>
      <c r="K455">
        <v>823</v>
      </c>
      <c r="L455">
        <v>4.33</v>
      </c>
      <c r="M455" t="s">
        <v>1003</v>
      </c>
      <c r="N455">
        <v>45.973500000000001</v>
      </c>
      <c r="O455">
        <v>-90.272300000000001</v>
      </c>
      <c r="P455">
        <v>475</v>
      </c>
      <c r="Q455">
        <v>1</v>
      </c>
      <c r="R455">
        <v>2019</v>
      </c>
      <c r="S455">
        <v>2019</v>
      </c>
      <c r="T455">
        <v>2019</v>
      </c>
      <c r="U455" t="s">
        <v>2343</v>
      </c>
      <c r="Z455">
        <v>2019</v>
      </c>
      <c r="AA455">
        <v>2019</v>
      </c>
      <c r="AB455" t="s">
        <v>2325</v>
      </c>
    </row>
    <row r="456" spans="1:28" x14ac:dyDescent="0.25">
      <c r="A456" t="s">
        <v>2344</v>
      </c>
      <c r="B456" t="s">
        <v>2345</v>
      </c>
      <c r="C456" t="s">
        <v>1050</v>
      </c>
      <c r="D456" t="s">
        <v>346</v>
      </c>
      <c r="E456" t="s">
        <v>347</v>
      </c>
      <c r="F456" t="s">
        <v>348</v>
      </c>
      <c r="G456" t="s">
        <v>513</v>
      </c>
      <c r="H456" t="s">
        <v>514</v>
      </c>
      <c r="I456" t="s">
        <v>481</v>
      </c>
      <c r="J456" t="s">
        <v>482</v>
      </c>
      <c r="K456">
        <v>823</v>
      </c>
      <c r="L456">
        <v>4.33</v>
      </c>
      <c r="M456" t="s">
        <v>1003</v>
      </c>
      <c r="N456">
        <v>45.9557</v>
      </c>
      <c r="O456">
        <v>-90.240600000000001</v>
      </c>
      <c r="P456">
        <v>463</v>
      </c>
      <c r="Q456">
        <v>1</v>
      </c>
      <c r="R456">
        <v>2019</v>
      </c>
      <c r="S456">
        <v>2019</v>
      </c>
      <c r="T456">
        <v>2019</v>
      </c>
      <c r="U456" t="s">
        <v>2346</v>
      </c>
      <c r="Z456">
        <v>2019</v>
      </c>
      <c r="AA456">
        <v>2019</v>
      </c>
      <c r="AB456" t="s">
        <v>2325</v>
      </c>
    </row>
    <row r="457" spans="1:28" x14ac:dyDescent="0.25">
      <c r="A457" t="s">
        <v>2347</v>
      </c>
      <c r="B457" t="s">
        <v>2348</v>
      </c>
      <c r="C457" t="s">
        <v>1050</v>
      </c>
      <c r="D457" t="s">
        <v>346</v>
      </c>
      <c r="E457" t="s">
        <v>347</v>
      </c>
      <c r="F457" t="s">
        <v>348</v>
      </c>
      <c r="G457" t="s">
        <v>428</v>
      </c>
      <c r="H457" t="s">
        <v>429</v>
      </c>
      <c r="I457" t="s">
        <v>481</v>
      </c>
      <c r="J457" t="s">
        <v>482</v>
      </c>
      <c r="K457">
        <v>823</v>
      </c>
      <c r="L457">
        <v>4.33</v>
      </c>
      <c r="M457" t="s">
        <v>1003</v>
      </c>
      <c r="N457">
        <v>45.974899999999998</v>
      </c>
      <c r="O457">
        <v>-90.232699999999994</v>
      </c>
      <c r="P457">
        <v>488</v>
      </c>
      <c r="Q457">
        <v>1</v>
      </c>
      <c r="R457">
        <v>2019</v>
      </c>
      <c r="S457">
        <v>2019</v>
      </c>
      <c r="T457">
        <v>2019</v>
      </c>
      <c r="U457" t="s">
        <v>2349</v>
      </c>
      <c r="Z457">
        <v>2019</v>
      </c>
      <c r="AA457">
        <v>2019</v>
      </c>
      <c r="AB457" t="s">
        <v>2325</v>
      </c>
    </row>
    <row r="458" spans="1:28" x14ac:dyDescent="0.25">
      <c r="A458" t="s">
        <v>2350</v>
      </c>
      <c r="B458" t="s">
        <v>2351</v>
      </c>
      <c r="C458" t="s">
        <v>1050</v>
      </c>
      <c r="D458" t="s">
        <v>346</v>
      </c>
      <c r="E458" t="s">
        <v>347</v>
      </c>
      <c r="F458" t="s">
        <v>348</v>
      </c>
      <c r="G458" t="s">
        <v>428</v>
      </c>
      <c r="H458" t="s">
        <v>429</v>
      </c>
      <c r="I458" t="s">
        <v>481</v>
      </c>
      <c r="J458" t="s">
        <v>482</v>
      </c>
      <c r="K458">
        <v>823</v>
      </c>
      <c r="L458">
        <v>4.33</v>
      </c>
      <c r="M458" t="s">
        <v>1003</v>
      </c>
      <c r="N458">
        <v>45.9619</v>
      </c>
      <c r="O458">
        <v>-90.227000000000004</v>
      </c>
      <c r="P458">
        <v>484</v>
      </c>
      <c r="Q458">
        <v>1</v>
      </c>
      <c r="R458">
        <v>2019</v>
      </c>
      <c r="S458">
        <v>2019</v>
      </c>
      <c r="T458">
        <v>2019</v>
      </c>
      <c r="U458" t="s">
        <v>2352</v>
      </c>
      <c r="Z458">
        <v>2019</v>
      </c>
      <c r="AA458">
        <v>2019</v>
      </c>
      <c r="AB458" t="s">
        <v>2325</v>
      </c>
    </row>
    <row r="459" spans="1:28" x14ac:dyDescent="0.25">
      <c r="A459" t="s">
        <v>2353</v>
      </c>
      <c r="B459" t="s">
        <v>2354</v>
      </c>
      <c r="C459" t="s">
        <v>1050</v>
      </c>
      <c r="D459" t="s">
        <v>346</v>
      </c>
      <c r="E459" t="s">
        <v>347</v>
      </c>
      <c r="F459" t="s">
        <v>347</v>
      </c>
      <c r="G459" t="s">
        <v>428</v>
      </c>
      <c r="H459" t="s">
        <v>429</v>
      </c>
      <c r="I459" t="s">
        <v>481</v>
      </c>
      <c r="J459" t="s">
        <v>482</v>
      </c>
      <c r="K459">
        <v>823</v>
      </c>
      <c r="L459">
        <v>4.33</v>
      </c>
      <c r="M459" t="s">
        <v>1003</v>
      </c>
      <c r="N459">
        <v>45.914900000000003</v>
      </c>
      <c r="O459">
        <v>-90.342500000000001</v>
      </c>
      <c r="P459">
        <v>476</v>
      </c>
      <c r="Q459">
        <v>1</v>
      </c>
      <c r="R459">
        <v>2019</v>
      </c>
      <c r="S459">
        <v>2019</v>
      </c>
      <c r="T459">
        <v>2019</v>
      </c>
      <c r="U459" t="s">
        <v>2355</v>
      </c>
      <c r="V459">
        <v>2019</v>
      </c>
      <c r="W459">
        <v>2019</v>
      </c>
      <c r="X459">
        <v>2019</v>
      </c>
      <c r="Y459" t="s">
        <v>2356</v>
      </c>
      <c r="Z459">
        <v>2019</v>
      </c>
      <c r="AA459">
        <v>2019</v>
      </c>
      <c r="AB459" t="s">
        <v>2325</v>
      </c>
    </row>
    <row r="460" spans="1:28" x14ac:dyDescent="0.25">
      <c r="A460" t="s">
        <v>2357</v>
      </c>
      <c r="B460" t="s">
        <v>2358</v>
      </c>
      <c r="C460" t="s">
        <v>1050</v>
      </c>
      <c r="D460" t="s">
        <v>346</v>
      </c>
      <c r="E460" t="s">
        <v>347</v>
      </c>
      <c r="F460" t="s">
        <v>347</v>
      </c>
      <c r="G460" t="s">
        <v>428</v>
      </c>
      <c r="H460" t="s">
        <v>429</v>
      </c>
      <c r="I460" t="s">
        <v>481</v>
      </c>
      <c r="J460" t="s">
        <v>482</v>
      </c>
      <c r="K460">
        <v>823</v>
      </c>
      <c r="L460">
        <v>4.33</v>
      </c>
      <c r="M460" t="s">
        <v>1003</v>
      </c>
      <c r="N460">
        <v>45.940899999999999</v>
      </c>
      <c r="O460">
        <v>-90.317700000000002</v>
      </c>
      <c r="P460">
        <v>464</v>
      </c>
      <c r="Q460">
        <v>1</v>
      </c>
      <c r="R460">
        <v>2019</v>
      </c>
      <c r="S460">
        <v>2019</v>
      </c>
      <c r="T460">
        <v>2019</v>
      </c>
      <c r="U460" t="s">
        <v>2359</v>
      </c>
      <c r="V460">
        <v>2019</v>
      </c>
      <c r="W460">
        <v>2019</v>
      </c>
      <c r="X460">
        <v>2019</v>
      </c>
      <c r="Y460" t="s">
        <v>2360</v>
      </c>
      <c r="Z460">
        <v>2019</v>
      </c>
      <c r="AA460">
        <v>2019</v>
      </c>
      <c r="AB460" t="s">
        <v>2325</v>
      </c>
    </row>
    <row r="461" spans="1:28" x14ac:dyDescent="0.25">
      <c r="A461" t="s">
        <v>2361</v>
      </c>
      <c r="B461" t="s">
        <v>2362</v>
      </c>
      <c r="C461" t="s">
        <v>1050</v>
      </c>
      <c r="D461" t="s">
        <v>346</v>
      </c>
      <c r="E461" t="s">
        <v>347</v>
      </c>
      <c r="F461" t="s">
        <v>347</v>
      </c>
      <c r="G461" t="s">
        <v>428</v>
      </c>
      <c r="H461" t="s">
        <v>429</v>
      </c>
      <c r="I461" t="s">
        <v>481</v>
      </c>
      <c r="J461" t="s">
        <v>482</v>
      </c>
      <c r="K461">
        <v>823</v>
      </c>
      <c r="L461">
        <v>4.33</v>
      </c>
      <c r="M461" t="s">
        <v>1003</v>
      </c>
      <c r="N461">
        <v>45.920699999999997</v>
      </c>
      <c r="O461">
        <v>-90.309899999999999</v>
      </c>
      <c r="P461">
        <v>484</v>
      </c>
      <c r="Q461">
        <v>1</v>
      </c>
      <c r="R461">
        <v>2019</v>
      </c>
      <c r="S461">
        <v>2019</v>
      </c>
      <c r="T461">
        <v>2019</v>
      </c>
      <c r="U461" t="s">
        <v>2363</v>
      </c>
      <c r="V461">
        <v>2019</v>
      </c>
      <c r="W461">
        <v>2019</v>
      </c>
      <c r="X461">
        <v>2019</v>
      </c>
      <c r="Y461" t="s">
        <v>2364</v>
      </c>
      <c r="Z461">
        <v>2019</v>
      </c>
      <c r="AA461">
        <v>2019</v>
      </c>
      <c r="AB461" t="s">
        <v>2325</v>
      </c>
    </row>
    <row r="462" spans="1:28" x14ac:dyDescent="0.25">
      <c r="A462" t="s">
        <v>2365</v>
      </c>
      <c r="B462" t="s">
        <v>2366</v>
      </c>
      <c r="C462" t="s">
        <v>1050</v>
      </c>
      <c r="D462" t="s">
        <v>346</v>
      </c>
      <c r="E462" t="s">
        <v>347</v>
      </c>
      <c r="F462" t="s">
        <v>347</v>
      </c>
      <c r="G462" t="s">
        <v>428</v>
      </c>
      <c r="H462" t="s">
        <v>429</v>
      </c>
      <c r="I462" t="s">
        <v>481</v>
      </c>
      <c r="J462" t="s">
        <v>482</v>
      </c>
      <c r="K462">
        <v>823</v>
      </c>
      <c r="L462">
        <v>4.33</v>
      </c>
      <c r="M462" t="s">
        <v>1003</v>
      </c>
      <c r="N462">
        <v>45.9392</v>
      </c>
      <c r="O462">
        <v>-90.282300000000006</v>
      </c>
      <c r="P462">
        <v>478</v>
      </c>
      <c r="Q462">
        <v>1</v>
      </c>
      <c r="R462">
        <v>2019</v>
      </c>
      <c r="S462">
        <v>2019</v>
      </c>
      <c r="T462">
        <v>2019</v>
      </c>
      <c r="U462" t="s">
        <v>2367</v>
      </c>
      <c r="V462">
        <v>2019</v>
      </c>
      <c r="W462">
        <v>2019</v>
      </c>
      <c r="X462">
        <v>2019</v>
      </c>
      <c r="Y462" t="s">
        <v>2368</v>
      </c>
      <c r="Z462">
        <v>2019</v>
      </c>
      <c r="AA462">
        <v>2019</v>
      </c>
      <c r="AB462" t="s">
        <v>2325</v>
      </c>
    </row>
    <row r="463" spans="1:28" x14ac:dyDescent="0.25">
      <c r="A463" t="s">
        <v>2369</v>
      </c>
      <c r="B463" t="s">
        <v>2370</v>
      </c>
      <c r="C463" t="s">
        <v>1050</v>
      </c>
      <c r="D463" t="s">
        <v>346</v>
      </c>
      <c r="E463" t="s">
        <v>347</v>
      </c>
      <c r="F463" t="s">
        <v>348</v>
      </c>
      <c r="G463" t="s">
        <v>918</v>
      </c>
      <c r="H463" t="s">
        <v>919</v>
      </c>
      <c r="I463" t="s">
        <v>481</v>
      </c>
      <c r="J463" t="s">
        <v>482</v>
      </c>
      <c r="K463">
        <v>823</v>
      </c>
      <c r="L463">
        <v>4.33</v>
      </c>
      <c r="M463" t="s">
        <v>1003</v>
      </c>
      <c r="N463">
        <v>45.922899999999998</v>
      </c>
      <c r="O463">
        <v>-90.272800000000004</v>
      </c>
      <c r="P463">
        <v>476</v>
      </c>
      <c r="Q463">
        <v>1</v>
      </c>
      <c r="R463">
        <v>2019</v>
      </c>
      <c r="S463">
        <v>2019</v>
      </c>
      <c r="T463">
        <v>2019</v>
      </c>
      <c r="U463" t="s">
        <v>2371</v>
      </c>
      <c r="Z463">
        <v>2019</v>
      </c>
      <c r="AA463">
        <v>2019</v>
      </c>
      <c r="AB463" t="s">
        <v>2372</v>
      </c>
    </row>
    <row r="464" spans="1:28" x14ac:dyDescent="0.25">
      <c r="A464" t="s">
        <v>2373</v>
      </c>
      <c r="B464" t="s">
        <v>2374</v>
      </c>
      <c r="C464" t="s">
        <v>1050</v>
      </c>
      <c r="D464" t="s">
        <v>346</v>
      </c>
      <c r="E464" t="s">
        <v>347</v>
      </c>
      <c r="F464" t="s">
        <v>347</v>
      </c>
      <c r="G464" t="s">
        <v>428</v>
      </c>
      <c r="H464" t="s">
        <v>429</v>
      </c>
      <c r="I464" t="s">
        <v>481</v>
      </c>
      <c r="J464" t="s">
        <v>482</v>
      </c>
      <c r="K464">
        <v>823</v>
      </c>
      <c r="L464">
        <v>4.33</v>
      </c>
      <c r="M464" t="s">
        <v>1003</v>
      </c>
      <c r="N464">
        <v>45.936500000000002</v>
      </c>
      <c r="O464">
        <v>-90.264099999999999</v>
      </c>
      <c r="P464">
        <v>497</v>
      </c>
      <c r="Q464">
        <v>1</v>
      </c>
      <c r="R464">
        <v>2019</v>
      </c>
      <c r="S464">
        <v>2019</v>
      </c>
      <c r="T464">
        <v>2019</v>
      </c>
      <c r="U464" t="s">
        <v>2375</v>
      </c>
      <c r="V464">
        <v>2019</v>
      </c>
      <c r="W464">
        <v>2019</v>
      </c>
      <c r="X464">
        <v>2019</v>
      </c>
      <c r="Y464" t="s">
        <v>2376</v>
      </c>
      <c r="Z464">
        <v>2019</v>
      </c>
      <c r="AA464">
        <v>2019</v>
      </c>
      <c r="AB464" t="s">
        <v>2325</v>
      </c>
    </row>
    <row r="465" spans="1:28" x14ac:dyDescent="0.25">
      <c r="A465" t="s">
        <v>2377</v>
      </c>
      <c r="B465" t="s">
        <v>2378</v>
      </c>
      <c r="C465" t="s">
        <v>1050</v>
      </c>
      <c r="D465" t="s">
        <v>346</v>
      </c>
      <c r="E465" t="s">
        <v>347</v>
      </c>
      <c r="F465" t="s">
        <v>347</v>
      </c>
      <c r="G465" t="s">
        <v>428</v>
      </c>
      <c r="H465" t="s">
        <v>429</v>
      </c>
      <c r="I465" t="s">
        <v>481</v>
      </c>
      <c r="J465" t="s">
        <v>482</v>
      </c>
      <c r="K465">
        <v>823</v>
      </c>
      <c r="L465">
        <v>4.33</v>
      </c>
      <c r="M465" t="s">
        <v>1003</v>
      </c>
      <c r="N465">
        <v>45.927100000000003</v>
      </c>
      <c r="O465">
        <v>-90.247500000000002</v>
      </c>
      <c r="P465">
        <v>473</v>
      </c>
      <c r="Q465">
        <v>1</v>
      </c>
      <c r="R465">
        <v>2019</v>
      </c>
      <c r="S465">
        <v>2019</v>
      </c>
      <c r="T465">
        <v>2019</v>
      </c>
      <c r="U465" t="s">
        <v>2379</v>
      </c>
      <c r="V465">
        <v>2019</v>
      </c>
      <c r="W465">
        <v>2019</v>
      </c>
      <c r="X465">
        <v>2019</v>
      </c>
      <c r="Y465" t="s">
        <v>2380</v>
      </c>
      <c r="Z465">
        <v>2019</v>
      </c>
      <c r="AA465">
        <v>2019</v>
      </c>
      <c r="AB465" t="s">
        <v>2325</v>
      </c>
    </row>
    <row r="466" spans="1:28" x14ac:dyDescent="0.25">
      <c r="A466" t="s">
        <v>2381</v>
      </c>
      <c r="B466" t="s">
        <v>2382</v>
      </c>
      <c r="C466" t="s">
        <v>1050</v>
      </c>
      <c r="D466" t="s">
        <v>346</v>
      </c>
      <c r="E466" t="s">
        <v>347</v>
      </c>
      <c r="F466" t="s">
        <v>348</v>
      </c>
      <c r="G466" t="s">
        <v>376</v>
      </c>
      <c r="H466" t="s">
        <v>377</v>
      </c>
      <c r="I466" t="s">
        <v>481</v>
      </c>
      <c r="J466" t="s">
        <v>482</v>
      </c>
      <c r="K466">
        <v>823</v>
      </c>
      <c r="L466">
        <v>4.33</v>
      </c>
      <c r="M466" t="s">
        <v>1003</v>
      </c>
      <c r="N466">
        <v>45.924500000000002</v>
      </c>
      <c r="O466">
        <v>-90.247500000000002</v>
      </c>
      <c r="P466">
        <v>490</v>
      </c>
      <c r="Q466">
        <v>1</v>
      </c>
      <c r="R466">
        <v>2019</v>
      </c>
      <c r="S466">
        <v>2019</v>
      </c>
      <c r="T466">
        <v>2019</v>
      </c>
      <c r="U466" t="s">
        <v>2383</v>
      </c>
      <c r="Z466">
        <v>2019</v>
      </c>
      <c r="AA466">
        <v>2019</v>
      </c>
      <c r="AB466" t="s">
        <v>2325</v>
      </c>
    </row>
    <row r="467" spans="1:28" x14ac:dyDescent="0.25">
      <c r="A467" t="s">
        <v>2384</v>
      </c>
      <c r="B467" t="s">
        <v>2385</v>
      </c>
      <c r="C467" t="s">
        <v>1050</v>
      </c>
      <c r="D467" t="s">
        <v>346</v>
      </c>
      <c r="E467" t="s">
        <v>347</v>
      </c>
      <c r="F467" t="s">
        <v>348</v>
      </c>
      <c r="G467" t="s">
        <v>428</v>
      </c>
      <c r="H467" t="s">
        <v>429</v>
      </c>
      <c r="I467" t="s">
        <v>481</v>
      </c>
      <c r="J467" t="s">
        <v>482</v>
      </c>
      <c r="K467">
        <v>823</v>
      </c>
      <c r="L467">
        <v>4.33</v>
      </c>
      <c r="M467" t="s">
        <v>1003</v>
      </c>
      <c r="N467">
        <v>45.938099999999999</v>
      </c>
      <c r="O467">
        <v>-90.238200000000006</v>
      </c>
      <c r="P467">
        <v>489</v>
      </c>
      <c r="Q467">
        <v>1</v>
      </c>
      <c r="R467">
        <v>2019</v>
      </c>
      <c r="S467">
        <v>2019</v>
      </c>
      <c r="T467">
        <v>2019</v>
      </c>
      <c r="U467" t="s">
        <v>2386</v>
      </c>
      <c r="Z467">
        <v>2019</v>
      </c>
      <c r="AA467">
        <v>2019</v>
      </c>
      <c r="AB467" t="s">
        <v>2325</v>
      </c>
    </row>
    <row r="468" spans="1:28" x14ac:dyDescent="0.25">
      <c r="A468" t="s">
        <v>2387</v>
      </c>
      <c r="B468" t="s">
        <v>2388</v>
      </c>
      <c r="C468" t="s">
        <v>1050</v>
      </c>
      <c r="D468" t="s">
        <v>346</v>
      </c>
      <c r="E468" t="s">
        <v>347</v>
      </c>
      <c r="F468" t="s">
        <v>347</v>
      </c>
      <c r="G468" t="s">
        <v>513</v>
      </c>
      <c r="H468" t="s">
        <v>514</v>
      </c>
      <c r="I468" t="s">
        <v>481</v>
      </c>
      <c r="J468" t="s">
        <v>482</v>
      </c>
      <c r="K468">
        <v>823</v>
      </c>
      <c r="L468">
        <v>4.33</v>
      </c>
      <c r="M468" t="s">
        <v>1003</v>
      </c>
      <c r="N468">
        <v>45.919699999999999</v>
      </c>
      <c r="O468">
        <v>-90.228800000000007</v>
      </c>
      <c r="P468">
        <v>466</v>
      </c>
      <c r="Q468">
        <v>1</v>
      </c>
      <c r="R468">
        <v>2019</v>
      </c>
      <c r="S468">
        <v>2019</v>
      </c>
      <c r="T468">
        <v>2019</v>
      </c>
      <c r="U468" t="s">
        <v>2389</v>
      </c>
      <c r="V468">
        <v>2019</v>
      </c>
      <c r="W468">
        <v>2019</v>
      </c>
      <c r="X468">
        <v>2019</v>
      </c>
      <c r="Y468" t="s">
        <v>2390</v>
      </c>
      <c r="Z468">
        <v>2019</v>
      </c>
      <c r="AA468">
        <v>2019</v>
      </c>
      <c r="AB468" t="s">
        <v>2325</v>
      </c>
    </row>
    <row r="469" spans="1:28" x14ac:dyDescent="0.25">
      <c r="A469" t="s">
        <v>2391</v>
      </c>
      <c r="B469" t="s">
        <v>2392</v>
      </c>
      <c r="C469" t="s">
        <v>2393</v>
      </c>
      <c r="D469" t="s">
        <v>346</v>
      </c>
      <c r="E469" t="s">
        <v>347</v>
      </c>
      <c r="F469" t="s">
        <v>348</v>
      </c>
      <c r="G469" t="s">
        <v>376</v>
      </c>
      <c r="H469" t="s">
        <v>377</v>
      </c>
      <c r="I469" t="s">
        <v>1175</v>
      </c>
      <c r="J469" t="s">
        <v>1176</v>
      </c>
      <c r="K469">
        <v>1262</v>
      </c>
      <c r="L469">
        <v>7.2</v>
      </c>
      <c r="M469" t="s">
        <v>1003</v>
      </c>
      <c r="N469">
        <v>42.7423</v>
      </c>
      <c r="O469">
        <v>-70.830100000000002</v>
      </c>
      <c r="P469">
        <v>1.4</v>
      </c>
      <c r="Q469">
        <v>8</v>
      </c>
      <c r="R469">
        <v>2013</v>
      </c>
      <c r="S469">
        <v>2020</v>
      </c>
      <c r="T469" t="s">
        <v>2394</v>
      </c>
      <c r="U469" t="s">
        <v>2395</v>
      </c>
      <c r="Z469">
        <v>2013</v>
      </c>
      <c r="AB469" t="s">
        <v>2396</v>
      </c>
    </row>
    <row r="470" spans="1:28" x14ac:dyDescent="0.25">
      <c r="A470" t="s">
        <v>2397</v>
      </c>
      <c r="B470" t="s">
        <v>2398</v>
      </c>
      <c r="C470" t="s">
        <v>1456</v>
      </c>
      <c r="D470" t="s">
        <v>346</v>
      </c>
      <c r="E470" t="s">
        <v>348</v>
      </c>
      <c r="F470" t="s">
        <v>348</v>
      </c>
      <c r="G470" t="s">
        <v>376</v>
      </c>
      <c r="H470" t="s">
        <v>377</v>
      </c>
      <c r="I470" t="s">
        <v>435</v>
      </c>
      <c r="J470" t="s">
        <v>436</v>
      </c>
      <c r="K470">
        <v>1312</v>
      </c>
      <c r="L470">
        <v>23.1</v>
      </c>
      <c r="M470" t="s">
        <v>1003</v>
      </c>
      <c r="N470">
        <v>26.000399999999999</v>
      </c>
      <c r="O470">
        <v>-80.926100000000005</v>
      </c>
      <c r="P470">
        <v>3.04</v>
      </c>
      <c r="Q470">
        <v>0</v>
      </c>
      <c r="Z470">
        <v>2012</v>
      </c>
      <c r="AA470">
        <v>2014</v>
      </c>
    </row>
    <row r="471" spans="1:28" x14ac:dyDescent="0.25">
      <c r="A471" t="s">
        <v>2399</v>
      </c>
      <c r="B471" t="s">
        <v>2400</v>
      </c>
      <c r="C471" t="s">
        <v>2393</v>
      </c>
      <c r="D471" t="s">
        <v>346</v>
      </c>
      <c r="E471" t="s">
        <v>348</v>
      </c>
      <c r="F471" t="s">
        <v>348</v>
      </c>
      <c r="G471" t="s">
        <v>376</v>
      </c>
      <c r="H471" t="s">
        <v>377</v>
      </c>
      <c r="I471" t="s">
        <v>1175</v>
      </c>
      <c r="J471" t="s">
        <v>1176</v>
      </c>
      <c r="K471">
        <v>1262</v>
      </c>
      <c r="L471">
        <v>8.6999999999999993</v>
      </c>
      <c r="M471" t="s">
        <v>1003</v>
      </c>
      <c r="N471">
        <v>42.734499999999997</v>
      </c>
      <c r="O471">
        <v>-70.838200000000001</v>
      </c>
      <c r="P471">
        <v>1</v>
      </c>
      <c r="Q471">
        <v>0</v>
      </c>
      <c r="Z471">
        <v>2015</v>
      </c>
    </row>
    <row r="472" spans="1:28" x14ac:dyDescent="0.25">
      <c r="A472" t="s">
        <v>2401</v>
      </c>
      <c r="B472" t="s">
        <v>2402</v>
      </c>
      <c r="C472" t="s">
        <v>2393</v>
      </c>
      <c r="D472" t="s">
        <v>346</v>
      </c>
      <c r="E472" t="s">
        <v>348</v>
      </c>
      <c r="F472" t="s">
        <v>348</v>
      </c>
      <c r="G472" t="s">
        <v>376</v>
      </c>
      <c r="H472" t="s">
        <v>377</v>
      </c>
      <c r="I472" t="s">
        <v>1175</v>
      </c>
      <c r="J472" t="s">
        <v>1176</v>
      </c>
      <c r="K472">
        <v>1262</v>
      </c>
      <c r="L472">
        <v>8.6999999999999993</v>
      </c>
      <c r="M472" t="s">
        <v>1003</v>
      </c>
      <c r="N472">
        <v>42.749600000000001</v>
      </c>
      <c r="O472">
        <v>-70.915700000000001</v>
      </c>
      <c r="P472">
        <v>1.4</v>
      </c>
      <c r="Q472">
        <v>0</v>
      </c>
      <c r="Z472">
        <v>2022</v>
      </c>
    </row>
    <row r="473" spans="1:28" x14ac:dyDescent="0.25">
      <c r="A473" t="s">
        <v>65</v>
      </c>
      <c r="B473" t="s">
        <v>2403</v>
      </c>
      <c r="C473" t="s">
        <v>1050</v>
      </c>
      <c r="D473" t="s">
        <v>346</v>
      </c>
      <c r="E473" t="s">
        <v>347</v>
      </c>
      <c r="F473" t="s">
        <v>347</v>
      </c>
      <c r="G473" t="s">
        <v>918</v>
      </c>
      <c r="H473" t="s">
        <v>919</v>
      </c>
      <c r="I473" t="s">
        <v>1175</v>
      </c>
      <c r="J473" t="s">
        <v>1176</v>
      </c>
      <c r="K473">
        <v>875</v>
      </c>
      <c r="L473">
        <v>7.94</v>
      </c>
      <c r="M473" t="s">
        <v>1003</v>
      </c>
      <c r="N473">
        <v>43.089599999999997</v>
      </c>
      <c r="O473">
        <v>-89.415800000000004</v>
      </c>
      <c r="P473">
        <v>260</v>
      </c>
      <c r="Q473">
        <v>7</v>
      </c>
      <c r="R473">
        <v>2016</v>
      </c>
      <c r="S473">
        <v>2022</v>
      </c>
      <c r="T473" t="s">
        <v>1697</v>
      </c>
      <c r="U473" t="s">
        <v>2404</v>
      </c>
      <c r="V473">
        <v>2016</v>
      </c>
      <c r="W473">
        <v>2022</v>
      </c>
      <c r="X473" t="s">
        <v>1697</v>
      </c>
      <c r="Y473" t="s">
        <v>2405</v>
      </c>
      <c r="Z473">
        <v>2016</v>
      </c>
      <c r="AB473" t="s">
        <v>2406</v>
      </c>
    </row>
    <row r="474" spans="1:28" x14ac:dyDescent="0.25">
      <c r="A474" t="s">
        <v>2407</v>
      </c>
      <c r="B474" t="s">
        <v>2408</v>
      </c>
      <c r="C474" t="s">
        <v>2216</v>
      </c>
      <c r="D474" t="s">
        <v>375</v>
      </c>
      <c r="E474" t="s">
        <v>347</v>
      </c>
      <c r="F474" t="s">
        <v>348</v>
      </c>
      <c r="G474" t="s">
        <v>349</v>
      </c>
      <c r="H474" t="s">
        <v>350</v>
      </c>
      <c r="I474" t="s">
        <v>360</v>
      </c>
      <c r="J474" t="s">
        <v>361</v>
      </c>
      <c r="K474">
        <v>866.34</v>
      </c>
      <c r="L474">
        <v>14.94</v>
      </c>
      <c r="M474" t="s">
        <v>1003</v>
      </c>
      <c r="N474">
        <v>36.7667</v>
      </c>
      <c r="O474">
        <v>-97.133300000000006</v>
      </c>
      <c r="P474">
        <v>310</v>
      </c>
      <c r="Q474">
        <v>4</v>
      </c>
      <c r="R474">
        <v>1997</v>
      </c>
      <c r="S474">
        <v>2000</v>
      </c>
      <c r="T474" t="s">
        <v>2409</v>
      </c>
      <c r="U474" t="s">
        <v>2410</v>
      </c>
      <c r="Z474">
        <v>1997</v>
      </c>
      <c r="AA474">
        <v>2001</v>
      </c>
      <c r="AB474" t="s">
        <v>720</v>
      </c>
    </row>
    <row r="475" spans="1:28" x14ac:dyDescent="0.25">
      <c r="A475" t="s">
        <v>2411</v>
      </c>
      <c r="B475" t="s">
        <v>2412</v>
      </c>
      <c r="C475" t="s">
        <v>2413</v>
      </c>
      <c r="D475" t="s">
        <v>346</v>
      </c>
      <c r="E475" t="s">
        <v>347</v>
      </c>
      <c r="F475" t="s">
        <v>348</v>
      </c>
      <c r="G475" t="s">
        <v>513</v>
      </c>
      <c r="H475" t="s">
        <v>514</v>
      </c>
      <c r="I475" t="s">
        <v>1581</v>
      </c>
      <c r="J475" t="s">
        <v>1582</v>
      </c>
      <c r="K475">
        <v>275</v>
      </c>
      <c r="L475">
        <v>-2</v>
      </c>
      <c r="M475" t="s">
        <v>1003</v>
      </c>
      <c r="N475">
        <v>65.123699999999999</v>
      </c>
      <c r="O475">
        <v>-147.48759999999999</v>
      </c>
      <c r="P475">
        <v>210</v>
      </c>
      <c r="Q475">
        <v>13</v>
      </c>
      <c r="R475">
        <v>2010</v>
      </c>
      <c r="S475">
        <v>2022</v>
      </c>
      <c r="T475" t="s">
        <v>1838</v>
      </c>
      <c r="U475" t="s">
        <v>2414</v>
      </c>
      <c r="Z475">
        <v>2011</v>
      </c>
      <c r="AB475" t="s">
        <v>2415</v>
      </c>
    </row>
    <row r="476" spans="1:28" x14ac:dyDescent="0.25">
      <c r="A476" t="s">
        <v>2416</v>
      </c>
      <c r="B476" t="s">
        <v>2417</v>
      </c>
      <c r="C476" t="s">
        <v>1106</v>
      </c>
      <c r="D476" t="s">
        <v>346</v>
      </c>
      <c r="E476" t="s">
        <v>347</v>
      </c>
      <c r="F476" t="s">
        <v>347</v>
      </c>
      <c r="G476" t="s">
        <v>428</v>
      </c>
      <c r="H476" t="s">
        <v>429</v>
      </c>
      <c r="I476" t="s">
        <v>913</v>
      </c>
      <c r="J476" t="s">
        <v>914</v>
      </c>
      <c r="K476">
        <v>191</v>
      </c>
      <c r="L476">
        <v>15.6</v>
      </c>
      <c r="M476" t="s">
        <v>1003</v>
      </c>
      <c r="N476">
        <v>36.234699999999997</v>
      </c>
      <c r="O476">
        <v>-119.9247</v>
      </c>
      <c r="P476">
        <v>70</v>
      </c>
      <c r="Q476">
        <v>2</v>
      </c>
      <c r="R476">
        <v>2016</v>
      </c>
      <c r="S476">
        <v>2017</v>
      </c>
      <c r="T476" t="s">
        <v>1023</v>
      </c>
      <c r="U476" t="s">
        <v>2418</v>
      </c>
      <c r="V476">
        <v>2016</v>
      </c>
      <c r="W476">
        <v>2016</v>
      </c>
      <c r="X476">
        <v>2016</v>
      </c>
      <c r="Y476" t="s">
        <v>2419</v>
      </c>
      <c r="Z476">
        <v>2016</v>
      </c>
      <c r="AB476" t="s">
        <v>1109</v>
      </c>
    </row>
    <row r="477" spans="1:28" x14ac:dyDescent="0.25">
      <c r="A477" t="s">
        <v>2420</v>
      </c>
      <c r="B477" t="s">
        <v>2421</v>
      </c>
      <c r="C477" t="s">
        <v>1106</v>
      </c>
      <c r="D477" t="s">
        <v>346</v>
      </c>
      <c r="E477" t="s">
        <v>347</v>
      </c>
      <c r="F477" t="s">
        <v>347</v>
      </c>
      <c r="G477" t="s">
        <v>428</v>
      </c>
      <c r="H477" t="s">
        <v>429</v>
      </c>
      <c r="I477" t="s">
        <v>913</v>
      </c>
      <c r="J477" t="s">
        <v>914</v>
      </c>
      <c r="K477">
        <v>311</v>
      </c>
      <c r="L477">
        <v>16.7</v>
      </c>
      <c r="M477" t="s">
        <v>1003</v>
      </c>
      <c r="N477">
        <v>36.827599999999997</v>
      </c>
      <c r="O477">
        <v>-120.1397</v>
      </c>
      <c r="P477">
        <v>65</v>
      </c>
      <c r="Q477">
        <v>2</v>
      </c>
      <c r="R477">
        <v>2016</v>
      </c>
      <c r="S477">
        <v>2017</v>
      </c>
      <c r="T477" t="s">
        <v>1023</v>
      </c>
      <c r="U477" t="s">
        <v>2422</v>
      </c>
      <c r="V477">
        <v>2016</v>
      </c>
      <c r="W477">
        <v>2016</v>
      </c>
      <c r="X477">
        <v>2016</v>
      </c>
      <c r="Y477" t="s">
        <v>2423</v>
      </c>
      <c r="Z477">
        <v>2016</v>
      </c>
      <c r="AB477" t="s">
        <v>1109</v>
      </c>
    </row>
    <row r="478" spans="1:28" x14ac:dyDescent="0.25">
      <c r="A478" t="s">
        <v>2424</v>
      </c>
      <c r="B478" t="s">
        <v>2425</v>
      </c>
      <c r="C478" t="s">
        <v>2426</v>
      </c>
      <c r="D478" t="s">
        <v>375</v>
      </c>
      <c r="E478" t="s">
        <v>348</v>
      </c>
      <c r="F478" t="s">
        <v>348</v>
      </c>
      <c r="G478" t="s">
        <v>349</v>
      </c>
      <c r="H478" t="s">
        <v>350</v>
      </c>
      <c r="I478" t="s">
        <v>360</v>
      </c>
      <c r="J478" t="s">
        <v>361</v>
      </c>
      <c r="K478">
        <v>1118</v>
      </c>
      <c r="L478">
        <v>20.7</v>
      </c>
      <c r="M478" t="s">
        <v>1003</v>
      </c>
      <c r="N478">
        <v>30.095800000000001</v>
      </c>
      <c r="O478">
        <v>-95.969499999999996</v>
      </c>
      <c r="P478">
        <v>86.5</v>
      </c>
      <c r="Q478">
        <v>0</v>
      </c>
      <c r="Z478">
        <v>2016</v>
      </c>
    </row>
    <row r="479" spans="1:28" x14ac:dyDescent="0.25">
      <c r="A479" t="s">
        <v>2427</v>
      </c>
      <c r="B479" t="s">
        <v>2428</v>
      </c>
      <c r="C479" t="s">
        <v>1843</v>
      </c>
      <c r="D479" t="s">
        <v>346</v>
      </c>
      <c r="E479" t="s">
        <v>348</v>
      </c>
      <c r="F479" t="s">
        <v>348</v>
      </c>
      <c r="G479" t="s">
        <v>933</v>
      </c>
      <c r="H479" t="s">
        <v>934</v>
      </c>
      <c r="I479" t="s">
        <v>920</v>
      </c>
      <c r="J479" t="s">
        <v>921</v>
      </c>
      <c r="K479">
        <v>183</v>
      </c>
      <c r="L479">
        <v>24.2</v>
      </c>
      <c r="M479" t="s">
        <v>1003</v>
      </c>
      <c r="N479">
        <v>33.483899999999998</v>
      </c>
      <c r="O479">
        <v>-112.1426</v>
      </c>
      <c r="P479">
        <v>332</v>
      </c>
      <c r="Q479">
        <v>0</v>
      </c>
      <c r="Z479">
        <v>2024</v>
      </c>
    </row>
    <row r="480" spans="1:28" x14ac:dyDescent="0.25">
      <c r="A480" t="s">
        <v>2429</v>
      </c>
      <c r="B480" t="s">
        <v>2430</v>
      </c>
      <c r="C480" t="s">
        <v>1843</v>
      </c>
      <c r="D480" t="s">
        <v>346</v>
      </c>
      <c r="E480" t="s">
        <v>348</v>
      </c>
      <c r="F480" t="s">
        <v>348</v>
      </c>
      <c r="G480" t="s">
        <v>367</v>
      </c>
      <c r="H480" t="s">
        <v>368</v>
      </c>
      <c r="I480" t="s">
        <v>920</v>
      </c>
      <c r="J480" t="s">
        <v>921</v>
      </c>
      <c r="K480">
        <v>203</v>
      </c>
      <c r="L480">
        <v>24.2</v>
      </c>
      <c r="M480" t="s">
        <v>1003</v>
      </c>
      <c r="N480">
        <v>33.478499999999997</v>
      </c>
      <c r="O480">
        <v>-112.098</v>
      </c>
      <c r="P480">
        <v>331</v>
      </c>
      <c r="Q480">
        <v>0</v>
      </c>
      <c r="Z480">
        <v>2024</v>
      </c>
    </row>
    <row r="481" spans="1:28" x14ac:dyDescent="0.25">
      <c r="A481" t="s">
        <v>2431</v>
      </c>
      <c r="B481" t="s">
        <v>2432</v>
      </c>
      <c r="C481" t="s">
        <v>1843</v>
      </c>
      <c r="D481" t="s">
        <v>346</v>
      </c>
      <c r="E481" t="s">
        <v>348</v>
      </c>
      <c r="F481" t="s">
        <v>348</v>
      </c>
      <c r="G481" t="s">
        <v>761</v>
      </c>
      <c r="H481" t="s">
        <v>762</v>
      </c>
      <c r="I481" t="s">
        <v>920</v>
      </c>
      <c r="J481" t="s">
        <v>921</v>
      </c>
      <c r="K481">
        <v>172</v>
      </c>
      <c r="L481">
        <v>24</v>
      </c>
      <c r="M481" t="s">
        <v>1003</v>
      </c>
      <c r="N481">
        <v>33.458199999999998</v>
      </c>
      <c r="O481">
        <v>-111.94280000000001</v>
      </c>
      <c r="P481">
        <v>396</v>
      </c>
      <c r="Q481">
        <v>0</v>
      </c>
      <c r="Z481">
        <v>2024</v>
      </c>
    </row>
    <row r="482" spans="1:28" x14ac:dyDescent="0.25">
      <c r="A482" t="s">
        <v>2433</v>
      </c>
      <c r="B482" t="s">
        <v>2434</v>
      </c>
      <c r="C482" t="s">
        <v>1843</v>
      </c>
      <c r="D482" t="s">
        <v>346</v>
      </c>
      <c r="E482" t="s">
        <v>348</v>
      </c>
      <c r="F482" t="s">
        <v>348</v>
      </c>
      <c r="G482" t="s">
        <v>933</v>
      </c>
      <c r="H482" t="s">
        <v>934</v>
      </c>
      <c r="I482" t="s">
        <v>920</v>
      </c>
      <c r="J482" t="s">
        <v>921</v>
      </c>
      <c r="K482">
        <v>203</v>
      </c>
      <c r="L482">
        <v>24.2</v>
      </c>
      <c r="M482" t="s">
        <v>1003</v>
      </c>
      <c r="N482">
        <v>33.473399999999998</v>
      </c>
      <c r="O482">
        <v>-112.0985</v>
      </c>
      <c r="P482">
        <v>331</v>
      </c>
      <c r="Q482">
        <v>0</v>
      </c>
      <c r="Z482">
        <v>2024</v>
      </c>
    </row>
    <row r="483" spans="1:28" x14ac:dyDescent="0.25">
      <c r="A483" t="s">
        <v>2435</v>
      </c>
      <c r="B483" t="s">
        <v>2436</v>
      </c>
      <c r="C483" t="s">
        <v>1843</v>
      </c>
      <c r="D483" t="s">
        <v>346</v>
      </c>
      <c r="E483" t="s">
        <v>348</v>
      </c>
      <c r="F483" t="s">
        <v>348</v>
      </c>
      <c r="G483" t="s">
        <v>933</v>
      </c>
      <c r="H483" t="s">
        <v>934</v>
      </c>
      <c r="I483" t="s">
        <v>920</v>
      </c>
      <c r="J483" t="s">
        <v>921</v>
      </c>
      <c r="K483">
        <v>229</v>
      </c>
      <c r="L483">
        <v>23.9</v>
      </c>
      <c r="M483" t="s">
        <v>1003</v>
      </c>
      <c r="N483">
        <v>33.3035</v>
      </c>
      <c r="O483">
        <v>-111.68219999999999</v>
      </c>
      <c r="P483">
        <v>404</v>
      </c>
      <c r="Q483">
        <v>0</v>
      </c>
      <c r="Z483">
        <v>2024</v>
      </c>
    </row>
    <row r="484" spans="1:28" x14ac:dyDescent="0.25">
      <c r="A484" t="s">
        <v>2437</v>
      </c>
      <c r="B484" t="s">
        <v>2438</v>
      </c>
      <c r="C484" t="s">
        <v>1660</v>
      </c>
      <c r="D484" t="s">
        <v>346</v>
      </c>
      <c r="E484" t="s">
        <v>347</v>
      </c>
      <c r="F484" t="s">
        <v>348</v>
      </c>
      <c r="G484" t="s">
        <v>349</v>
      </c>
      <c r="H484" t="s">
        <v>350</v>
      </c>
      <c r="I484" t="s">
        <v>1302</v>
      </c>
      <c r="J484" t="s">
        <v>1303</v>
      </c>
      <c r="K484">
        <v>550</v>
      </c>
      <c r="L484">
        <v>9</v>
      </c>
      <c r="M484" t="s">
        <v>1003</v>
      </c>
      <c r="N484">
        <v>46.783700000000003</v>
      </c>
      <c r="O484">
        <v>-117.07769999999999</v>
      </c>
      <c r="P484">
        <v>807</v>
      </c>
      <c r="Q484">
        <v>6</v>
      </c>
      <c r="R484">
        <v>2011</v>
      </c>
      <c r="S484">
        <v>2016</v>
      </c>
      <c r="T484" t="s">
        <v>2299</v>
      </c>
      <c r="U484" t="s">
        <v>2439</v>
      </c>
      <c r="Z484">
        <v>2011</v>
      </c>
      <c r="AA484">
        <v>2016</v>
      </c>
      <c r="AB484" t="s">
        <v>2440</v>
      </c>
    </row>
    <row r="485" spans="1:28" x14ac:dyDescent="0.25">
      <c r="A485" t="s">
        <v>2441</v>
      </c>
      <c r="B485" t="s">
        <v>2442</v>
      </c>
      <c r="C485" t="s">
        <v>1660</v>
      </c>
      <c r="D485" t="s">
        <v>346</v>
      </c>
      <c r="E485" t="s">
        <v>347</v>
      </c>
      <c r="F485" t="s">
        <v>348</v>
      </c>
      <c r="G485" t="s">
        <v>349</v>
      </c>
      <c r="H485" t="s">
        <v>350</v>
      </c>
      <c r="I485" t="s">
        <v>1302</v>
      </c>
      <c r="J485" t="s">
        <v>1303</v>
      </c>
      <c r="K485">
        <v>550</v>
      </c>
      <c r="L485">
        <v>9</v>
      </c>
      <c r="M485" t="s">
        <v>1003</v>
      </c>
      <c r="N485">
        <v>46.7776</v>
      </c>
      <c r="O485">
        <v>-117.08069999999999</v>
      </c>
      <c r="P485">
        <v>799</v>
      </c>
      <c r="Q485">
        <v>5</v>
      </c>
      <c r="R485">
        <v>2012</v>
      </c>
      <c r="S485">
        <v>2016</v>
      </c>
      <c r="T485" t="s">
        <v>672</v>
      </c>
      <c r="U485" t="s">
        <v>2443</v>
      </c>
      <c r="Z485">
        <v>2012</v>
      </c>
      <c r="AA485">
        <v>2016</v>
      </c>
      <c r="AB485" t="s">
        <v>2440</v>
      </c>
    </row>
    <row r="486" spans="1:28" x14ac:dyDescent="0.25">
      <c r="A486" t="s">
        <v>2444</v>
      </c>
      <c r="B486" t="s">
        <v>2445</v>
      </c>
      <c r="C486" t="s">
        <v>1660</v>
      </c>
      <c r="D486" t="s">
        <v>346</v>
      </c>
      <c r="E486" t="s">
        <v>347</v>
      </c>
      <c r="F486" t="s">
        <v>348</v>
      </c>
      <c r="G486" t="s">
        <v>349</v>
      </c>
      <c r="H486" t="s">
        <v>350</v>
      </c>
      <c r="I486" t="s">
        <v>1302</v>
      </c>
      <c r="J486" t="s">
        <v>1303</v>
      </c>
      <c r="K486">
        <v>280</v>
      </c>
      <c r="L486">
        <v>10</v>
      </c>
      <c r="M486" t="s">
        <v>1003</v>
      </c>
      <c r="N486">
        <v>46.991</v>
      </c>
      <c r="O486">
        <v>-118.598</v>
      </c>
      <c r="Q486">
        <v>6</v>
      </c>
      <c r="R486">
        <v>2011</v>
      </c>
      <c r="S486">
        <v>2016</v>
      </c>
      <c r="T486" t="s">
        <v>2299</v>
      </c>
      <c r="U486" t="s">
        <v>2446</v>
      </c>
      <c r="Z486">
        <v>2011</v>
      </c>
      <c r="AA486">
        <v>2016</v>
      </c>
      <c r="AB486" t="s">
        <v>2440</v>
      </c>
    </row>
    <row r="487" spans="1:28" x14ac:dyDescent="0.25">
      <c r="A487" t="s">
        <v>2447</v>
      </c>
      <c r="B487" t="s">
        <v>2448</v>
      </c>
      <c r="C487" t="s">
        <v>1660</v>
      </c>
      <c r="D487" t="s">
        <v>346</v>
      </c>
      <c r="E487" t="s">
        <v>347</v>
      </c>
      <c r="F487" t="s">
        <v>348</v>
      </c>
      <c r="G487" t="s">
        <v>349</v>
      </c>
      <c r="H487" t="s">
        <v>350</v>
      </c>
      <c r="I487" t="s">
        <v>1302</v>
      </c>
      <c r="J487" t="s">
        <v>1303</v>
      </c>
      <c r="K487">
        <v>680</v>
      </c>
      <c r="L487">
        <v>9</v>
      </c>
      <c r="M487" t="s">
        <v>1003</v>
      </c>
      <c r="N487">
        <v>46.758000000000003</v>
      </c>
      <c r="O487">
        <v>-116.949</v>
      </c>
      <c r="P487">
        <v>817</v>
      </c>
      <c r="Q487">
        <v>5</v>
      </c>
      <c r="R487">
        <v>2012</v>
      </c>
      <c r="S487">
        <v>2016</v>
      </c>
      <c r="T487" t="s">
        <v>672</v>
      </c>
      <c r="U487" t="s">
        <v>2449</v>
      </c>
      <c r="Z487">
        <v>2012</v>
      </c>
      <c r="AA487">
        <v>2016</v>
      </c>
      <c r="AB487" t="s">
        <v>2440</v>
      </c>
    </row>
    <row r="488" spans="1:28" x14ac:dyDescent="0.25">
      <c r="A488" t="s">
        <v>2450</v>
      </c>
      <c r="B488" t="s">
        <v>2451</v>
      </c>
      <c r="C488" t="s">
        <v>1660</v>
      </c>
      <c r="D488" t="s">
        <v>346</v>
      </c>
      <c r="E488" t="s">
        <v>347</v>
      </c>
      <c r="F488" t="s">
        <v>348</v>
      </c>
      <c r="G488" t="s">
        <v>349</v>
      </c>
      <c r="H488" t="s">
        <v>350</v>
      </c>
      <c r="I488" t="s">
        <v>1302</v>
      </c>
      <c r="J488" t="s">
        <v>1303</v>
      </c>
      <c r="K488">
        <v>230</v>
      </c>
      <c r="L488">
        <v>11</v>
      </c>
      <c r="M488" t="s">
        <v>1003</v>
      </c>
      <c r="N488">
        <v>47.01</v>
      </c>
      <c r="O488">
        <v>-119.248</v>
      </c>
      <c r="P488">
        <v>349</v>
      </c>
      <c r="Q488">
        <v>3</v>
      </c>
      <c r="R488">
        <v>2013</v>
      </c>
      <c r="S488">
        <v>2015</v>
      </c>
      <c r="T488" t="s">
        <v>2452</v>
      </c>
      <c r="U488" t="s">
        <v>2453</v>
      </c>
      <c r="Z488">
        <v>2013</v>
      </c>
      <c r="AA488">
        <v>2015</v>
      </c>
      <c r="AB488" t="s">
        <v>2440</v>
      </c>
    </row>
    <row r="489" spans="1:28" x14ac:dyDescent="0.25">
      <c r="A489" t="s">
        <v>2454</v>
      </c>
      <c r="B489" t="s">
        <v>2455</v>
      </c>
      <c r="C489" t="s">
        <v>2259</v>
      </c>
      <c r="D489" t="s">
        <v>375</v>
      </c>
      <c r="E489" t="s">
        <v>348</v>
      </c>
      <c r="F489" t="s">
        <v>348</v>
      </c>
      <c r="G489" t="s">
        <v>367</v>
      </c>
      <c r="H489" t="s">
        <v>368</v>
      </c>
      <c r="I489" t="s">
        <v>913</v>
      </c>
      <c r="J489" t="s">
        <v>914</v>
      </c>
      <c r="K489">
        <v>468</v>
      </c>
      <c r="L489">
        <v>10.199999999999999</v>
      </c>
      <c r="M489" t="s">
        <v>1003</v>
      </c>
      <c r="N489">
        <v>39.877099999999999</v>
      </c>
      <c r="O489">
        <v>-105.169</v>
      </c>
      <c r="P489">
        <v>1725</v>
      </c>
      <c r="Q489">
        <v>0</v>
      </c>
      <c r="Z489">
        <v>2012</v>
      </c>
    </row>
    <row r="490" spans="1:28" x14ac:dyDescent="0.25">
      <c r="A490" t="s">
        <v>2456</v>
      </c>
      <c r="B490" t="s">
        <v>2457</v>
      </c>
      <c r="C490" t="s">
        <v>2259</v>
      </c>
      <c r="D490" t="s">
        <v>375</v>
      </c>
      <c r="E490" t="s">
        <v>348</v>
      </c>
      <c r="F490" t="s">
        <v>348</v>
      </c>
      <c r="G490" t="s">
        <v>367</v>
      </c>
      <c r="H490" t="s">
        <v>368</v>
      </c>
      <c r="I490" t="s">
        <v>913</v>
      </c>
      <c r="J490" t="s">
        <v>914</v>
      </c>
      <c r="K490">
        <v>468</v>
      </c>
      <c r="L490">
        <v>10.199999999999999</v>
      </c>
      <c r="M490" t="s">
        <v>1003</v>
      </c>
      <c r="N490">
        <v>39.875100000000003</v>
      </c>
      <c r="O490">
        <v>-105.2184</v>
      </c>
      <c r="P490">
        <v>1864</v>
      </c>
      <c r="Q490">
        <v>0</v>
      </c>
      <c r="Z490">
        <v>2010</v>
      </c>
      <c r="AA490">
        <v>2017</v>
      </c>
    </row>
    <row r="491" spans="1:28" x14ac:dyDescent="0.25">
      <c r="A491" t="s">
        <v>66</v>
      </c>
      <c r="B491" t="s">
        <v>2458</v>
      </c>
      <c r="C491" t="s">
        <v>2459</v>
      </c>
      <c r="D491" t="s">
        <v>346</v>
      </c>
      <c r="E491" t="s">
        <v>347</v>
      </c>
      <c r="F491" t="s">
        <v>347</v>
      </c>
      <c r="G491" t="s">
        <v>349</v>
      </c>
      <c r="H491" t="s">
        <v>350</v>
      </c>
      <c r="I491" t="s">
        <v>632</v>
      </c>
      <c r="J491" t="s">
        <v>633</v>
      </c>
      <c r="K491">
        <v>1250</v>
      </c>
      <c r="L491">
        <v>16.7</v>
      </c>
      <c r="M491" t="s">
        <v>1003</v>
      </c>
      <c r="N491">
        <v>34.415900000000001</v>
      </c>
      <c r="O491">
        <v>-91.673299999999998</v>
      </c>
      <c r="P491">
        <v>61</v>
      </c>
      <c r="Q491">
        <v>3</v>
      </c>
      <c r="R491">
        <v>2021</v>
      </c>
      <c r="S491">
        <v>2023</v>
      </c>
      <c r="T491" t="s">
        <v>592</v>
      </c>
      <c r="U491" t="s">
        <v>2460</v>
      </c>
      <c r="V491">
        <v>2021</v>
      </c>
      <c r="W491">
        <v>2023</v>
      </c>
      <c r="X491" t="s">
        <v>592</v>
      </c>
      <c r="Y491" t="s">
        <v>2461</v>
      </c>
      <c r="Z491">
        <v>2021</v>
      </c>
      <c r="AB491" t="s">
        <v>2462</v>
      </c>
    </row>
    <row r="492" spans="1:28" x14ac:dyDescent="0.25">
      <c r="A492" t="s">
        <v>67</v>
      </c>
      <c r="B492" t="s">
        <v>2463</v>
      </c>
      <c r="C492" t="s">
        <v>2459</v>
      </c>
      <c r="D492" t="s">
        <v>346</v>
      </c>
      <c r="E492" t="s">
        <v>347</v>
      </c>
      <c r="F492" t="s">
        <v>347</v>
      </c>
      <c r="G492" t="s">
        <v>349</v>
      </c>
      <c r="H492" t="s">
        <v>350</v>
      </c>
      <c r="I492" t="s">
        <v>632</v>
      </c>
      <c r="J492" t="s">
        <v>633</v>
      </c>
      <c r="K492">
        <v>737</v>
      </c>
      <c r="L492">
        <v>16</v>
      </c>
      <c r="M492" t="s">
        <v>1003</v>
      </c>
      <c r="N492">
        <v>39.578200000000002</v>
      </c>
      <c r="O492">
        <v>-121.8579</v>
      </c>
      <c r="P492">
        <v>33</v>
      </c>
      <c r="Q492">
        <v>3</v>
      </c>
      <c r="R492">
        <v>2021</v>
      </c>
      <c r="S492">
        <v>2023</v>
      </c>
      <c r="T492" t="s">
        <v>592</v>
      </c>
      <c r="U492" t="s">
        <v>2464</v>
      </c>
      <c r="V492">
        <v>2021</v>
      </c>
      <c r="W492">
        <v>2023</v>
      </c>
      <c r="X492" t="s">
        <v>592</v>
      </c>
      <c r="Y492" t="s">
        <v>2465</v>
      </c>
      <c r="Z492">
        <v>2021</v>
      </c>
      <c r="AA492">
        <v>2024</v>
      </c>
      <c r="AB492" t="s">
        <v>2462</v>
      </c>
    </row>
    <row r="493" spans="1:28" x14ac:dyDescent="0.25">
      <c r="A493" t="s">
        <v>2466</v>
      </c>
      <c r="B493" t="s">
        <v>2467</v>
      </c>
      <c r="C493" t="s">
        <v>2459</v>
      </c>
      <c r="D493" t="s">
        <v>346</v>
      </c>
      <c r="E493" t="s">
        <v>347</v>
      </c>
      <c r="F493" t="s">
        <v>347</v>
      </c>
      <c r="G493" t="s">
        <v>349</v>
      </c>
      <c r="H493" t="s">
        <v>350</v>
      </c>
      <c r="I493" t="s">
        <v>632</v>
      </c>
      <c r="J493" t="s">
        <v>633</v>
      </c>
      <c r="K493">
        <v>31</v>
      </c>
      <c r="L493">
        <v>17.2</v>
      </c>
      <c r="M493" t="s">
        <v>1003</v>
      </c>
      <c r="N493">
        <v>37.6995</v>
      </c>
      <c r="O493">
        <v>-121.1369</v>
      </c>
      <c r="P493">
        <v>16</v>
      </c>
      <c r="Q493">
        <v>2</v>
      </c>
      <c r="R493">
        <v>2023</v>
      </c>
      <c r="S493">
        <v>2024</v>
      </c>
      <c r="T493" t="s">
        <v>484</v>
      </c>
      <c r="U493" t="s">
        <v>2468</v>
      </c>
      <c r="V493">
        <v>2023</v>
      </c>
      <c r="W493">
        <v>2023</v>
      </c>
      <c r="X493">
        <v>2023</v>
      </c>
      <c r="Y493" t="s">
        <v>2469</v>
      </c>
      <c r="Z493">
        <v>2023</v>
      </c>
      <c r="AB493" t="s">
        <v>2462</v>
      </c>
    </row>
    <row r="494" spans="1:28" x14ac:dyDescent="0.25">
      <c r="A494" t="s">
        <v>2470</v>
      </c>
      <c r="B494" t="s">
        <v>2471</v>
      </c>
      <c r="C494" t="s">
        <v>2459</v>
      </c>
      <c r="D494" t="s">
        <v>346</v>
      </c>
      <c r="E494" t="s">
        <v>348</v>
      </c>
      <c r="F494" t="s">
        <v>348</v>
      </c>
      <c r="G494" t="s">
        <v>349</v>
      </c>
      <c r="H494" t="s">
        <v>350</v>
      </c>
      <c r="I494" t="s">
        <v>632</v>
      </c>
      <c r="J494" t="s">
        <v>633</v>
      </c>
      <c r="K494">
        <v>610</v>
      </c>
      <c r="L494">
        <v>16</v>
      </c>
      <c r="M494" t="s">
        <v>1003</v>
      </c>
      <c r="N494">
        <v>39.5944</v>
      </c>
      <c r="O494">
        <v>-122.0253</v>
      </c>
      <c r="P494">
        <v>36</v>
      </c>
      <c r="Q494">
        <v>0</v>
      </c>
      <c r="Z494">
        <v>2020</v>
      </c>
      <c r="AA494">
        <v>2021</v>
      </c>
    </row>
    <row r="495" spans="1:28" x14ac:dyDescent="0.25">
      <c r="A495" t="s">
        <v>68</v>
      </c>
      <c r="B495" t="s">
        <v>2472</v>
      </c>
      <c r="C495" t="s">
        <v>2459</v>
      </c>
      <c r="D495" t="s">
        <v>346</v>
      </c>
      <c r="E495" t="s">
        <v>347</v>
      </c>
      <c r="F495" t="s">
        <v>347</v>
      </c>
      <c r="G495" t="s">
        <v>349</v>
      </c>
      <c r="H495" t="s">
        <v>350</v>
      </c>
      <c r="I495" t="s">
        <v>632</v>
      </c>
      <c r="J495" t="s">
        <v>633</v>
      </c>
      <c r="K495">
        <v>610</v>
      </c>
      <c r="L495">
        <v>16</v>
      </c>
      <c r="M495" t="s">
        <v>1003</v>
      </c>
      <c r="N495">
        <v>39.680500000000002</v>
      </c>
      <c r="O495">
        <v>-122.0026</v>
      </c>
      <c r="P495">
        <v>40</v>
      </c>
      <c r="Q495">
        <v>3</v>
      </c>
      <c r="R495">
        <v>2021</v>
      </c>
      <c r="S495">
        <v>2023</v>
      </c>
      <c r="T495" t="s">
        <v>592</v>
      </c>
      <c r="U495" t="s">
        <v>2473</v>
      </c>
      <c r="V495">
        <v>2021</v>
      </c>
      <c r="W495">
        <v>2023</v>
      </c>
      <c r="X495" t="s">
        <v>592</v>
      </c>
      <c r="Y495" t="s">
        <v>2474</v>
      </c>
      <c r="Z495">
        <v>2021</v>
      </c>
      <c r="AA495">
        <v>2025</v>
      </c>
      <c r="AB495" t="s">
        <v>2462</v>
      </c>
    </row>
    <row r="496" spans="1:28" x14ac:dyDescent="0.25">
      <c r="A496" t="s">
        <v>2475</v>
      </c>
      <c r="B496" t="s">
        <v>2476</v>
      </c>
      <c r="C496" t="s">
        <v>2459</v>
      </c>
      <c r="D496" t="s">
        <v>346</v>
      </c>
      <c r="E496" t="s">
        <v>347</v>
      </c>
      <c r="F496" t="s">
        <v>347</v>
      </c>
      <c r="G496" t="s">
        <v>349</v>
      </c>
      <c r="H496" t="s">
        <v>350</v>
      </c>
      <c r="I496" t="s">
        <v>632</v>
      </c>
      <c r="J496" t="s">
        <v>633</v>
      </c>
      <c r="K496">
        <v>1283</v>
      </c>
      <c r="L496">
        <v>16.7</v>
      </c>
      <c r="M496" t="s">
        <v>1003</v>
      </c>
      <c r="N496">
        <v>33.621600000000001</v>
      </c>
      <c r="O496">
        <v>-91.430599999999998</v>
      </c>
      <c r="P496">
        <v>41</v>
      </c>
      <c r="Q496">
        <v>2</v>
      </c>
      <c r="R496">
        <v>2022</v>
      </c>
      <c r="S496">
        <v>2023</v>
      </c>
      <c r="T496" t="s">
        <v>554</v>
      </c>
      <c r="U496" t="s">
        <v>2477</v>
      </c>
      <c r="V496">
        <v>2022</v>
      </c>
      <c r="W496">
        <v>2023</v>
      </c>
      <c r="X496" t="s">
        <v>554</v>
      </c>
      <c r="Y496" t="s">
        <v>2478</v>
      </c>
      <c r="Z496">
        <v>2022</v>
      </c>
      <c r="AB496" t="s">
        <v>2462</v>
      </c>
    </row>
    <row r="497" spans="1:28" x14ac:dyDescent="0.25">
      <c r="A497" t="s">
        <v>69</v>
      </c>
      <c r="B497" t="s">
        <v>2479</v>
      </c>
      <c r="C497" t="s">
        <v>2480</v>
      </c>
      <c r="D497" t="s">
        <v>346</v>
      </c>
      <c r="E497" t="s">
        <v>347</v>
      </c>
      <c r="F497" t="s">
        <v>347</v>
      </c>
      <c r="G497" t="s">
        <v>925</v>
      </c>
      <c r="H497" t="s">
        <v>926</v>
      </c>
      <c r="I497" t="s">
        <v>415</v>
      </c>
      <c r="J497" t="s">
        <v>416</v>
      </c>
      <c r="K497">
        <v>333</v>
      </c>
      <c r="L497">
        <v>8.4</v>
      </c>
      <c r="M497" t="s">
        <v>1003</v>
      </c>
      <c r="N497">
        <v>43.143900000000002</v>
      </c>
      <c r="O497">
        <v>-116.73560000000001</v>
      </c>
      <c r="P497">
        <v>1608</v>
      </c>
      <c r="Q497">
        <v>10</v>
      </c>
      <c r="R497">
        <v>2014</v>
      </c>
      <c r="S497">
        <v>2023</v>
      </c>
      <c r="T497" t="s">
        <v>2481</v>
      </c>
      <c r="U497" t="s">
        <v>2482</v>
      </c>
      <c r="V497">
        <v>2014</v>
      </c>
      <c r="W497">
        <v>2023</v>
      </c>
      <c r="X497" t="s">
        <v>2481</v>
      </c>
      <c r="Y497" t="s">
        <v>2483</v>
      </c>
      <c r="Z497">
        <v>2014</v>
      </c>
      <c r="AB497" t="s">
        <v>2484</v>
      </c>
    </row>
    <row r="498" spans="1:28" x14ac:dyDescent="0.25">
      <c r="A498" t="s">
        <v>70</v>
      </c>
      <c r="B498" t="s">
        <v>2485</v>
      </c>
      <c r="C498" t="s">
        <v>2480</v>
      </c>
      <c r="D498" t="s">
        <v>346</v>
      </c>
      <c r="E498" t="s">
        <v>347</v>
      </c>
      <c r="F498" t="s">
        <v>347</v>
      </c>
      <c r="G498" t="s">
        <v>925</v>
      </c>
      <c r="H498" t="s">
        <v>926</v>
      </c>
      <c r="I498" t="s">
        <v>415</v>
      </c>
      <c r="J498" t="s">
        <v>416</v>
      </c>
      <c r="K498">
        <v>800</v>
      </c>
      <c r="L498">
        <v>5.4</v>
      </c>
      <c r="M498" t="s">
        <v>1003</v>
      </c>
      <c r="N498">
        <v>43.064500000000002</v>
      </c>
      <c r="O498">
        <v>-116.7486</v>
      </c>
      <c r="P498">
        <v>2111</v>
      </c>
      <c r="Q498">
        <v>10</v>
      </c>
      <c r="R498">
        <v>2014</v>
      </c>
      <c r="S498">
        <v>2023</v>
      </c>
      <c r="T498" t="s">
        <v>2481</v>
      </c>
      <c r="U498" t="s">
        <v>2486</v>
      </c>
      <c r="V498">
        <v>2014</v>
      </c>
      <c r="W498">
        <v>2023</v>
      </c>
      <c r="X498" t="s">
        <v>2481</v>
      </c>
      <c r="Y498" t="s">
        <v>2487</v>
      </c>
      <c r="Z498">
        <v>2014</v>
      </c>
      <c r="AB498" t="s">
        <v>2484</v>
      </c>
    </row>
    <row r="499" spans="1:28" x14ac:dyDescent="0.25">
      <c r="A499" t="s">
        <v>2488</v>
      </c>
      <c r="B499" t="s">
        <v>2489</v>
      </c>
      <c r="C499" t="s">
        <v>982</v>
      </c>
      <c r="D499" t="s">
        <v>346</v>
      </c>
      <c r="E499" t="s">
        <v>347</v>
      </c>
      <c r="F499" t="s">
        <v>347</v>
      </c>
      <c r="G499" t="s">
        <v>349</v>
      </c>
      <c r="H499" t="s">
        <v>350</v>
      </c>
      <c r="I499" t="s">
        <v>1175</v>
      </c>
      <c r="J499" t="s">
        <v>1176</v>
      </c>
      <c r="K499">
        <v>879</v>
      </c>
      <c r="L499">
        <v>6.4</v>
      </c>
      <c r="M499" t="s">
        <v>1003</v>
      </c>
      <c r="N499">
        <v>44.714300000000001</v>
      </c>
      <c r="O499">
        <v>-93.089799999999997</v>
      </c>
      <c r="P499">
        <v>290</v>
      </c>
      <c r="Q499">
        <v>13</v>
      </c>
      <c r="R499">
        <v>2004</v>
      </c>
      <c r="S499">
        <v>2016</v>
      </c>
      <c r="T499" t="s">
        <v>2490</v>
      </c>
      <c r="U499" t="s">
        <v>2491</v>
      </c>
      <c r="V499">
        <v>2004</v>
      </c>
      <c r="W499">
        <v>2016</v>
      </c>
      <c r="X499" t="s">
        <v>2490</v>
      </c>
      <c r="Y499" t="s">
        <v>2492</v>
      </c>
      <c r="Z499">
        <v>2003</v>
      </c>
      <c r="AA499">
        <v>2017</v>
      </c>
      <c r="AB499" t="s">
        <v>2493</v>
      </c>
    </row>
    <row r="500" spans="1:28" x14ac:dyDescent="0.25">
      <c r="A500" t="s">
        <v>2494</v>
      </c>
      <c r="B500" t="s">
        <v>2495</v>
      </c>
      <c r="C500" t="s">
        <v>982</v>
      </c>
      <c r="D500" t="s">
        <v>346</v>
      </c>
      <c r="E500" t="s">
        <v>347</v>
      </c>
      <c r="F500" t="s">
        <v>347</v>
      </c>
      <c r="G500" t="s">
        <v>349</v>
      </c>
      <c r="H500" t="s">
        <v>350</v>
      </c>
      <c r="I500" t="s">
        <v>1175</v>
      </c>
      <c r="J500" t="s">
        <v>1176</v>
      </c>
      <c r="K500">
        <v>879</v>
      </c>
      <c r="L500">
        <v>6.4</v>
      </c>
      <c r="M500" t="s">
        <v>1003</v>
      </c>
      <c r="N500">
        <v>44.7288</v>
      </c>
      <c r="O500">
        <v>-93.088800000000006</v>
      </c>
      <c r="P500">
        <v>292</v>
      </c>
      <c r="Q500">
        <v>9</v>
      </c>
      <c r="R500">
        <v>2008</v>
      </c>
      <c r="S500">
        <v>2016</v>
      </c>
      <c r="T500" t="s">
        <v>1445</v>
      </c>
      <c r="U500" t="s">
        <v>2496</v>
      </c>
      <c r="V500">
        <v>2008</v>
      </c>
      <c r="W500">
        <v>2016</v>
      </c>
      <c r="X500" t="s">
        <v>1445</v>
      </c>
      <c r="Y500" t="s">
        <v>2497</v>
      </c>
      <c r="Z500">
        <v>2003</v>
      </c>
      <c r="AA500">
        <v>2017</v>
      </c>
      <c r="AB500" t="s">
        <v>2498</v>
      </c>
    </row>
    <row r="501" spans="1:28" x14ac:dyDescent="0.25">
      <c r="A501" t="s">
        <v>2499</v>
      </c>
      <c r="B501" t="s">
        <v>2500</v>
      </c>
      <c r="C501" t="s">
        <v>982</v>
      </c>
      <c r="D501" t="s">
        <v>346</v>
      </c>
      <c r="E501" t="s">
        <v>347</v>
      </c>
      <c r="F501" t="s">
        <v>347</v>
      </c>
      <c r="G501" t="s">
        <v>349</v>
      </c>
      <c r="H501" t="s">
        <v>350</v>
      </c>
      <c r="I501" t="s">
        <v>1175</v>
      </c>
      <c r="J501" t="s">
        <v>1176</v>
      </c>
      <c r="K501">
        <v>879</v>
      </c>
      <c r="L501">
        <v>6.4</v>
      </c>
      <c r="M501" t="s">
        <v>1003</v>
      </c>
      <c r="N501">
        <v>44.721699999999998</v>
      </c>
      <c r="O501">
        <v>-93.089299999999994</v>
      </c>
      <c r="P501">
        <v>260</v>
      </c>
      <c r="Q501">
        <v>4</v>
      </c>
      <c r="R501">
        <v>2004</v>
      </c>
      <c r="S501">
        <v>2007</v>
      </c>
      <c r="T501" t="s">
        <v>2501</v>
      </c>
      <c r="U501" t="s">
        <v>2502</v>
      </c>
      <c r="V501">
        <v>2004</v>
      </c>
      <c r="W501">
        <v>2007</v>
      </c>
      <c r="X501" t="s">
        <v>2501</v>
      </c>
      <c r="Y501" t="s">
        <v>2503</v>
      </c>
      <c r="Z501">
        <v>2003</v>
      </c>
      <c r="AA501">
        <v>2010</v>
      </c>
      <c r="AB501" t="s">
        <v>2504</v>
      </c>
    </row>
    <row r="502" spans="1:28" x14ac:dyDescent="0.25">
      <c r="A502" t="s">
        <v>71</v>
      </c>
      <c r="B502" t="s">
        <v>2505</v>
      </c>
      <c r="C502" t="s">
        <v>982</v>
      </c>
      <c r="D502" t="s">
        <v>346</v>
      </c>
      <c r="E502" t="s">
        <v>347</v>
      </c>
      <c r="F502" t="s">
        <v>347</v>
      </c>
      <c r="G502" t="s">
        <v>367</v>
      </c>
      <c r="H502" t="s">
        <v>368</v>
      </c>
      <c r="I502" t="s">
        <v>1175</v>
      </c>
      <c r="J502" t="s">
        <v>1176</v>
      </c>
      <c r="K502">
        <v>879</v>
      </c>
      <c r="L502">
        <v>6.4</v>
      </c>
      <c r="M502" t="s">
        <v>1003</v>
      </c>
      <c r="N502">
        <v>44.678100000000001</v>
      </c>
      <c r="O502">
        <v>-93.072299999999998</v>
      </c>
      <c r="P502">
        <v>274</v>
      </c>
      <c r="Q502">
        <v>11</v>
      </c>
      <c r="R502">
        <v>2014</v>
      </c>
      <c r="S502">
        <v>2024</v>
      </c>
      <c r="T502" t="s">
        <v>2506</v>
      </c>
      <c r="U502" t="s">
        <v>2507</v>
      </c>
      <c r="V502">
        <v>2014</v>
      </c>
      <c r="W502">
        <v>2023</v>
      </c>
      <c r="X502" t="s">
        <v>2481</v>
      </c>
      <c r="Y502" t="s">
        <v>2508</v>
      </c>
      <c r="Z502">
        <v>2014</v>
      </c>
      <c r="AB502" t="s">
        <v>2493</v>
      </c>
    </row>
    <row r="503" spans="1:28" x14ac:dyDescent="0.25">
      <c r="A503" t="s">
        <v>72</v>
      </c>
      <c r="B503" t="s">
        <v>2509</v>
      </c>
      <c r="C503" t="s">
        <v>982</v>
      </c>
      <c r="D503" t="s">
        <v>346</v>
      </c>
      <c r="E503" t="s">
        <v>347</v>
      </c>
      <c r="F503" t="s">
        <v>347</v>
      </c>
      <c r="G503" t="s">
        <v>349</v>
      </c>
      <c r="H503" t="s">
        <v>350</v>
      </c>
      <c r="I503" t="s">
        <v>1175</v>
      </c>
      <c r="J503" t="s">
        <v>1176</v>
      </c>
      <c r="K503">
        <v>879</v>
      </c>
      <c r="L503">
        <v>6.4</v>
      </c>
      <c r="M503" t="s">
        <v>1003</v>
      </c>
      <c r="N503">
        <v>44.691000000000003</v>
      </c>
      <c r="O503">
        <v>-93.057599999999994</v>
      </c>
      <c r="P503">
        <v>283</v>
      </c>
      <c r="Q503">
        <v>8</v>
      </c>
      <c r="R503">
        <v>2017</v>
      </c>
      <c r="S503">
        <v>2024</v>
      </c>
      <c r="T503" t="s">
        <v>1168</v>
      </c>
      <c r="U503" t="s">
        <v>2510</v>
      </c>
      <c r="V503">
        <v>2017</v>
      </c>
      <c r="W503">
        <v>2023</v>
      </c>
      <c r="X503" t="s">
        <v>2114</v>
      </c>
      <c r="Y503" t="s">
        <v>2511</v>
      </c>
      <c r="Z503">
        <v>2017</v>
      </c>
      <c r="AB503" t="s">
        <v>2493</v>
      </c>
    </row>
    <row r="504" spans="1:28" x14ac:dyDescent="0.25">
      <c r="A504" t="s">
        <v>73</v>
      </c>
      <c r="B504" t="s">
        <v>2512</v>
      </c>
      <c r="C504" t="s">
        <v>982</v>
      </c>
      <c r="D504" t="s">
        <v>346</v>
      </c>
      <c r="E504" t="s">
        <v>347</v>
      </c>
      <c r="F504" t="s">
        <v>347</v>
      </c>
      <c r="G504" t="s">
        <v>349</v>
      </c>
      <c r="H504" t="s">
        <v>350</v>
      </c>
      <c r="I504" t="s">
        <v>1175</v>
      </c>
      <c r="J504" t="s">
        <v>1176</v>
      </c>
      <c r="K504">
        <v>879</v>
      </c>
      <c r="L504">
        <v>6.4</v>
      </c>
      <c r="M504" t="s">
        <v>1003</v>
      </c>
      <c r="N504">
        <v>44.694600000000001</v>
      </c>
      <c r="O504">
        <v>-93.0578</v>
      </c>
      <c r="P504">
        <v>282</v>
      </c>
      <c r="Q504">
        <v>8</v>
      </c>
      <c r="R504">
        <v>2017</v>
      </c>
      <c r="S504">
        <v>2024</v>
      </c>
      <c r="T504" t="s">
        <v>1168</v>
      </c>
      <c r="U504" t="s">
        <v>2513</v>
      </c>
      <c r="V504">
        <v>2017</v>
      </c>
      <c r="W504">
        <v>2023</v>
      </c>
      <c r="X504" t="s">
        <v>2114</v>
      </c>
      <c r="Y504" t="s">
        <v>2514</v>
      </c>
      <c r="Z504">
        <v>2017</v>
      </c>
      <c r="AB504" t="s">
        <v>2493</v>
      </c>
    </row>
    <row r="505" spans="1:28" x14ac:dyDescent="0.25">
      <c r="A505" t="s">
        <v>74</v>
      </c>
      <c r="B505" t="s">
        <v>2515</v>
      </c>
      <c r="C505" t="s">
        <v>1338</v>
      </c>
      <c r="D505" t="s">
        <v>346</v>
      </c>
      <c r="E505" t="s">
        <v>347</v>
      </c>
      <c r="F505" t="s">
        <v>347</v>
      </c>
      <c r="G505" t="s">
        <v>428</v>
      </c>
      <c r="H505" t="s">
        <v>429</v>
      </c>
      <c r="I505" t="s">
        <v>1581</v>
      </c>
      <c r="J505" t="s">
        <v>1582</v>
      </c>
      <c r="K505">
        <v>450</v>
      </c>
      <c r="L505">
        <v>-0.8</v>
      </c>
      <c r="M505" t="s">
        <v>1003</v>
      </c>
      <c r="N505">
        <v>65.119799999999998</v>
      </c>
      <c r="O505">
        <v>-147.429</v>
      </c>
      <c r="P505">
        <v>497</v>
      </c>
      <c r="Q505">
        <v>16</v>
      </c>
      <c r="R505">
        <v>2008</v>
      </c>
      <c r="S505">
        <v>2023</v>
      </c>
      <c r="T505" t="s">
        <v>1556</v>
      </c>
      <c r="U505" t="s">
        <v>2516</v>
      </c>
      <c r="V505">
        <v>2008</v>
      </c>
      <c r="W505">
        <v>2023</v>
      </c>
      <c r="X505" t="s">
        <v>1556</v>
      </c>
      <c r="Y505" t="s">
        <v>2517</v>
      </c>
      <c r="Z505">
        <v>2008</v>
      </c>
      <c r="AB505" t="s">
        <v>2518</v>
      </c>
    </row>
    <row r="506" spans="1:28" x14ac:dyDescent="0.25">
      <c r="A506" t="s">
        <v>2519</v>
      </c>
      <c r="B506" t="s">
        <v>2520</v>
      </c>
      <c r="C506" t="s">
        <v>2521</v>
      </c>
      <c r="D506" t="s">
        <v>346</v>
      </c>
      <c r="E506" t="s">
        <v>347</v>
      </c>
      <c r="F506" t="s">
        <v>347</v>
      </c>
      <c r="G506" t="s">
        <v>376</v>
      </c>
      <c r="H506" t="s">
        <v>377</v>
      </c>
      <c r="I506" t="s">
        <v>1175</v>
      </c>
      <c r="J506" t="s">
        <v>1176</v>
      </c>
      <c r="K506">
        <v>1117</v>
      </c>
      <c r="L506">
        <v>15.4</v>
      </c>
      <c r="M506" t="s">
        <v>1003</v>
      </c>
      <c r="N506">
        <v>37.334400000000002</v>
      </c>
      <c r="O506">
        <v>-77.206500000000005</v>
      </c>
      <c r="P506">
        <v>0.1</v>
      </c>
      <c r="Q506">
        <v>3</v>
      </c>
      <c r="R506">
        <v>2022</v>
      </c>
      <c r="S506">
        <v>2024</v>
      </c>
      <c r="T506" t="s">
        <v>1540</v>
      </c>
      <c r="U506" t="s">
        <v>2522</v>
      </c>
      <c r="V506">
        <v>2022</v>
      </c>
      <c r="W506">
        <v>2023</v>
      </c>
      <c r="X506" t="s">
        <v>554</v>
      </c>
      <c r="Y506" t="s">
        <v>2523</v>
      </c>
      <c r="Z506">
        <v>2017</v>
      </c>
      <c r="AB506" t="s">
        <v>2524</v>
      </c>
    </row>
    <row r="507" spans="1:28" x14ac:dyDescent="0.25">
      <c r="A507" t="s">
        <v>2525</v>
      </c>
      <c r="B507" t="s">
        <v>2526</v>
      </c>
      <c r="C507" t="s">
        <v>2527</v>
      </c>
      <c r="D507" t="s">
        <v>346</v>
      </c>
      <c r="E507" t="s">
        <v>347</v>
      </c>
      <c r="F507" t="s">
        <v>347</v>
      </c>
      <c r="G507" t="s">
        <v>925</v>
      </c>
      <c r="H507" t="s">
        <v>926</v>
      </c>
      <c r="I507" t="s">
        <v>415</v>
      </c>
      <c r="J507" t="s">
        <v>416</v>
      </c>
      <c r="K507">
        <v>800</v>
      </c>
      <c r="L507">
        <v>5.4</v>
      </c>
      <c r="M507" t="s">
        <v>1003</v>
      </c>
      <c r="N507">
        <v>43.065300000000001</v>
      </c>
      <c r="O507">
        <v>-116.7591</v>
      </c>
      <c r="P507">
        <v>2098</v>
      </c>
      <c r="Q507">
        <v>5</v>
      </c>
      <c r="R507">
        <v>2003</v>
      </c>
      <c r="S507">
        <v>2007</v>
      </c>
      <c r="T507" t="s">
        <v>2528</v>
      </c>
      <c r="U507" t="s">
        <v>2529</v>
      </c>
      <c r="V507">
        <v>2003</v>
      </c>
      <c r="W507">
        <v>2007</v>
      </c>
      <c r="X507" t="s">
        <v>2528</v>
      </c>
      <c r="Y507" t="s">
        <v>2530</v>
      </c>
      <c r="Z507">
        <v>2003</v>
      </c>
      <c r="AA507">
        <v>2007</v>
      </c>
      <c r="AB507" t="s">
        <v>2531</v>
      </c>
    </row>
    <row r="508" spans="1:28" x14ac:dyDescent="0.25">
      <c r="A508" t="s">
        <v>75</v>
      </c>
      <c r="B508" t="s">
        <v>2532</v>
      </c>
      <c r="C508" t="s">
        <v>2480</v>
      </c>
      <c r="D508" t="s">
        <v>346</v>
      </c>
      <c r="E508" t="s">
        <v>347</v>
      </c>
      <c r="F508" t="s">
        <v>347</v>
      </c>
      <c r="G508" t="s">
        <v>925</v>
      </c>
      <c r="H508" t="s">
        <v>926</v>
      </c>
      <c r="I508" t="s">
        <v>415</v>
      </c>
      <c r="J508" t="s">
        <v>416</v>
      </c>
      <c r="K508">
        <v>505</v>
      </c>
      <c r="L508">
        <v>6.5</v>
      </c>
      <c r="M508" t="s">
        <v>1003</v>
      </c>
      <c r="N508">
        <v>43.120699999999999</v>
      </c>
      <c r="O508">
        <v>-116.7231</v>
      </c>
      <c r="P508">
        <v>1878</v>
      </c>
      <c r="Q508">
        <v>10</v>
      </c>
      <c r="R508">
        <v>2014</v>
      </c>
      <c r="S508">
        <v>2023</v>
      </c>
      <c r="T508" t="s">
        <v>2481</v>
      </c>
      <c r="U508" t="s">
        <v>2533</v>
      </c>
      <c r="V508">
        <v>2014</v>
      </c>
      <c r="W508">
        <v>2023</v>
      </c>
      <c r="X508" t="s">
        <v>2481</v>
      </c>
      <c r="Y508" t="s">
        <v>2534</v>
      </c>
      <c r="Z508">
        <v>2014</v>
      </c>
      <c r="AB508" t="s">
        <v>2484</v>
      </c>
    </row>
    <row r="509" spans="1:28" x14ac:dyDescent="0.25">
      <c r="A509" t="s">
        <v>76</v>
      </c>
      <c r="B509" t="s">
        <v>2535</v>
      </c>
      <c r="C509" t="s">
        <v>2480</v>
      </c>
      <c r="D509" t="s">
        <v>346</v>
      </c>
      <c r="E509" t="s">
        <v>347</v>
      </c>
      <c r="F509" t="s">
        <v>347</v>
      </c>
      <c r="G509" t="s">
        <v>581</v>
      </c>
      <c r="H509" t="s">
        <v>582</v>
      </c>
      <c r="I509" t="s">
        <v>913</v>
      </c>
      <c r="J509" t="s">
        <v>914</v>
      </c>
      <c r="K509">
        <v>290</v>
      </c>
      <c r="L509">
        <v>8.9</v>
      </c>
      <c r="M509" t="s">
        <v>1003</v>
      </c>
      <c r="N509">
        <v>43.167499999999997</v>
      </c>
      <c r="O509">
        <v>-116.7132</v>
      </c>
      <c r="P509">
        <v>1425</v>
      </c>
      <c r="Q509">
        <v>10</v>
      </c>
      <c r="R509">
        <v>2014</v>
      </c>
      <c r="S509">
        <v>2023</v>
      </c>
      <c r="T509" t="s">
        <v>2481</v>
      </c>
      <c r="U509" t="s">
        <v>2536</v>
      </c>
      <c r="V509">
        <v>2014</v>
      </c>
      <c r="W509">
        <v>2023</v>
      </c>
      <c r="X509" t="s">
        <v>2481</v>
      </c>
      <c r="Y509" t="s">
        <v>2537</v>
      </c>
      <c r="Z509">
        <v>2014</v>
      </c>
      <c r="AB509" t="s">
        <v>2484</v>
      </c>
    </row>
    <row r="510" spans="1:28" x14ac:dyDescent="0.25">
      <c r="A510" t="s">
        <v>2538</v>
      </c>
      <c r="B510" t="s">
        <v>2539</v>
      </c>
      <c r="C510" t="s">
        <v>1338</v>
      </c>
      <c r="D510" t="s">
        <v>346</v>
      </c>
      <c r="E510" t="s">
        <v>347</v>
      </c>
      <c r="F510" t="s">
        <v>348</v>
      </c>
      <c r="G510" t="s">
        <v>376</v>
      </c>
      <c r="H510" t="s">
        <v>377</v>
      </c>
      <c r="I510" t="s">
        <v>539</v>
      </c>
      <c r="J510" t="s">
        <v>540</v>
      </c>
      <c r="K510">
        <v>121</v>
      </c>
      <c r="L510">
        <v>-8</v>
      </c>
      <c r="M510" t="s">
        <v>1003</v>
      </c>
      <c r="N510">
        <v>69.513099999999994</v>
      </c>
      <c r="O510">
        <v>-148.5676</v>
      </c>
      <c r="P510">
        <v>170</v>
      </c>
      <c r="Q510">
        <v>1</v>
      </c>
      <c r="R510">
        <v>1996</v>
      </c>
      <c r="S510">
        <v>1996</v>
      </c>
      <c r="T510">
        <v>1996</v>
      </c>
      <c r="U510" t="s">
        <v>2540</v>
      </c>
      <c r="Z510">
        <v>1996</v>
      </c>
      <c r="AA510">
        <v>1996</v>
      </c>
      <c r="AB510" t="s">
        <v>2541</v>
      </c>
    </row>
    <row r="511" spans="1:28" x14ac:dyDescent="0.25">
      <c r="A511" t="s">
        <v>2542</v>
      </c>
      <c r="B511" t="s">
        <v>2543</v>
      </c>
      <c r="C511" t="s">
        <v>1678</v>
      </c>
      <c r="D511" t="s">
        <v>375</v>
      </c>
      <c r="E511" t="s">
        <v>348</v>
      </c>
      <c r="F511" t="s">
        <v>348</v>
      </c>
      <c r="G511" t="s">
        <v>513</v>
      </c>
      <c r="H511" t="s">
        <v>514</v>
      </c>
      <c r="I511" t="s">
        <v>360</v>
      </c>
      <c r="J511" t="s">
        <v>361</v>
      </c>
      <c r="K511">
        <v>1016</v>
      </c>
      <c r="L511">
        <v>12.7</v>
      </c>
      <c r="M511" t="s">
        <v>1003</v>
      </c>
      <c r="N511">
        <v>37.573399999999999</v>
      </c>
      <c r="O511">
        <v>-79.084800000000001</v>
      </c>
      <c r="P511">
        <v>242</v>
      </c>
      <c r="Q511">
        <v>0</v>
      </c>
      <c r="Z511">
        <v>2015</v>
      </c>
    </row>
    <row r="512" spans="1:28" x14ac:dyDescent="0.25">
      <c r="A512" t="s">
        <v>2544</v>
      </c>
      <c r="B512" t="s">
        <v>2545</v>
      </c>
      <c r="C512" t="s">
        <v>1678</v>
      </c>
      <c r="D512" t="s">
        <v>375</v>
      </c>
      <c r="E512" t="s">
        <v>348</v>
      </c>
      <c r="F512" t="s">
        <v>348</v>
      </c>
      <c r="G512" t="s">
        <v>349</v>
      </c>
      <c r="H512" t="s">
        <v>350</v>
      </c>
      <c r="I512" t="s">
        <v>360</v>
      </c>
      <c r="J512" t="s">
        <v>361</v>
      </c>
      <c r="K512">
        <v>1016</v>
      </c>
      <c r="L512">
        <v>12.7</v>
      </c>
      <c r="M512" t="s">
        <v>1003</v>
      </c>
      <c r="N512">
        <v>37.560699999999997</v>
      </c>
      <c r="O512">
        <v>-79.088300000000004</v>
      </c>
      <c r="P512">
        <v>240</v>
      </c>
      <c r="Q512">
        <v>0</v>
      </c>
      <c r="Z512">
        <v>2016</v>
      </c>
    </row>
    <row r="513" spans="1:28" x14ac:dyDescent="0.25">
      <c r="A513" t="s">
        <v>2546</v>
      </c>
      <c r="B513" t="s">
        <v>2547</v>
      </c>
      <c r="C513" t="s">
        <v>1678</v>
      </c>
      <c r="D513" t="s">
        <v>375</v>
      </c>
      <c r="E513" t="s">
        <v>348</v>
      </c>
      <c r="F513" t="s">
        <v>348</v>
      </c>
      <c r="G513" t="s">
        <v>761</v>
      </c>
      <c r="H513" t="s">
        <v>762</v>
      </c>
      <c r="I513" t="s">
        <v>360</v>
      </c>
      <c r="J513" t="s">
        <v>361</v>
      </c>
      <c r="K513">
        <v>1016</v>
      </c>
      <c r="L513">
        <v>12.7</v>
      </c>
      <c r="M513" t="s">
        <v>1003</v>
      </c>
      <c r="N513">
        <v>37.575200000000002</v>
      </c>
      <c r="O513">
        <v>-79.087199999999996</v>
      </c>
      <c r="P513">
        <v>253</v>
      </c>
      <c r="Q513">
        <v>0</v>
      </c>
      <c r="Z513">
        <v>2018</v>
      </c>
    </row>
    <row r="514" spans="1:28" x14ac:dyDescent="0.25">
      <c r="A514" t="s">
        <v>2548</v>
      </c>
      <c r="B514" t="s">
        <v>2549</v>
      </c>
      <c r="C514" t="s">
        <v>2550</v>
      </c>
      <c r="D514" t="s">
        <v>375</v>
      </c>
      <c r="E514" t="s">
        <v>348</v>
      </c>
      <c r="F514" t="s">
        <v>348</v>
      </c>
      <c r="G514" t="s">
        <v>581</v>
      </c>
      <c r="H514" t="s">
        <v>582</v>
      </c>
      <c r="M514" t="s">
        <v>1003</v>
      </c>
      <c r="N514">
        <v>33.609400000000001</v>
      </c>
      <c r="O514">
        <v>-116.45050000000001</v>
      </c>
      <c r="P514">
        <v>1280</v>
      </c>
      <c r="Q514">
        <v>0</v>
      </c>
      <c r="Z514">
        <v>2007</v>
      </c>
    </row>
    <row r="515" spans="1:28" x14ac:dyDescent="0.25">
      <c r="A515" t="s">
        <v>2551</v>
      </c>
      <c r="B515" t="s">
        <v>2552</v>
      </c>
      <c r="C515" t="s">
        <v>2550</v>
      </c>
      <c r="D515" t="s">
        <v>375</v>
      </c>
      <c r="E515" t="s">
        <v>347</v>
      </c>
      <c r="F515" t="s">
        <v>348</v>
      </c>
      <c r="G515" t="s">
        <v>761</v>
      </c>
      <c r="H515" t="s">
        <v>762</v>
      </c>
      <c r="M515" t="s">
        <v>1003</v>
      </c>
      <c r="N515">
        <v>33.651800000000001</v>
      </c>
      <c r="O515">
        <v>-116.3721</v>
      </c>
      <c r="P515">
        <v>275</v>
      </c>
      <c r="Q515">
        <v>9</v>
      </c>
      <c r="R515">
        <v>2006</v>
      </c>
      <c r="S515">
        <v>2014</v>
      </c>
      <c r="T515" t="s">
        <v>2553</v>
      </c>
      <c r="U515" t="s">
        <v>2554</v>
      </c>
      <c r="Z515">
        <v>2007</v>
      </c>
      <c r="AB515" t="s">
        <v>1442</v>
      </c>
    </row>
    <row r="516" spans="1:28" x14ac:dyDescent="0.25">
      <c r="A516" t="s">
        <v>2555</v>
      </c>
      <c r="B516" t="s">
        <v>2556</v>
      </c>
      <c r="C516" t="s">
        <v>467</v>
      </c>
      <c r="D516" t="s">
        <v>375</v>
      </c>
      <c r="E516" t="s">
        <v>347</v>
      </c>
      <c r="F516" t="s">
        <v>348</v>
      </c>
      <c r="G516" t="s">
        <v>479</v>
      </c>
      <c r="H516" t="s">
        <v>480</v>
      </c>
      <c r="M516" t="s">
        <v>1003</v>
      </c>
      <c r="N516">
        <v>33.807899999999997</v>
      </c>
      <c r="O516">
        <v>-116.7717</v>
      </c>
      <c r="P516">
        <v>1770</v>
      </c>
      <c r="Q516">
        <v>10</v>
      </c>
      <c r="R516">
        <v>2006</v>
      </c>
      <c r="S516">
        <v>2015</v>
      </c>
      <c r="T516" t="s">
        <v>2557</v>
      </c>
      <c r="U516" t="s">
        <v>2558</v>
      </c>
      <c r="Z516">
        <v>2007</v>
      </c>
      <c r="AB516" t="s">
        <v>1442</v>
      </c>
    </row>
    <row r="517" spans="1:28" x14ac:dyDescent="0.25">
      <c r="A517" t="s">
        <v>2559</v>
      </c>
      <c r="B517" t="s">
        <v>2560</v>
      </c>
      <c r="C517" t="s">
        <v>467</v>
      </c>
      <c r="D517" t="s">
        <v>375</v>
      </c>
      <c r="E517" t="s">
        <v>347</v>
      </c>
      <c r="F517" t="s">
        <v>348</v>
      </c>
      <c r="G517" t="s">
        <v>367</v>
      </c>
      <c r="H517" t="s">
        <v>368</v>
      </c>
      <c r="M517" t="s">
        <v>1003</v>
      </c>
      <c r="N517">
        <v>33.736499999999999</v>
      </c>
      <c r="O517">
        <v>-117.69459999999999</v>
      </c>
      <c r="P517">
        <v>465</v>
      </c>
      <c r="Q517">
        <v>11</v>
      </c>
      <c r="R517">
        <v>2006</v>
      </c>
      <c r="S517">
        <v>2016</v>
      </c>
      <c r="T517" t="s">
        <v>2561</v>
      </c>
      <c r="U517" t="s">
        <v>2562</v>
      </c>
      <c r="Z517">
        <v>2007</v>
      </c>
      <c r="AB517" t="s">
        <v>1442</v>
      </c>
    </row>
    <row r="518" spans="1:28" x14ac:dyDescent="0.25">
      <c r="A518" t="s">
        <v>2563</v>
      </c>
      <c r="B518" t="s">
        <v>2564</v>
      </c>
      <c r="C518" t="s">
        <v>467</v>
      </c>
      <c r="D518" t="s">
        <v>375</v>
      </c>
      <c r="E518" t="s">
        <v>347</v>
      </c>
      <c r="F518" t="s">
        <v>348</v>
      </c>
      <c r="G518" t="s">
        <v>581</v>
      </c>
      <c r="H518" t="s">
        <v>582</v>
      </c>
      <c r="M518" t="s">
        <v>1003</v>
      </c>
      <c r="N518">
        <v>33.734299999999998</v>
      </c>
      <c r="O518">
        <v>-117.69589999999999</v>
      </c>
      <c r="P518">
        <v>470</v>
      </c>
      <c r="Q518">
        <v>11</v>
      </c>
      <c r="R518">
        <v>2006</v>
      </c>
      <c r="S518">
        <v>2016</v>
      </c>
      <c r="T518" t="s">
        <v>2561</v>
      </c>
      <c r="U518" t="s">
        <v>2565</v>
      </c>
      <c r="Z518">
        <v>2007</v>
      </c>
      <c r="AB518" t="s">
        <v>1442</v>
      </c>
    </row>
    <row r="519" spans="1:28" x14ac:dyDescent="0.25">
      <c r="A519" t="s">
        <v>2566</v>
      </c>
      <c r="B519" t="s">
        <v>2567</v>
      </c>
      <c r="C519" t="s">
        <v>2550</v>
      </c>
      <c r="D519" t="s">
        <v>375</v>
      </c>
      <c r="E519" t="s">
        <v>347</v>
      </c>
      <c r="F519" t="s">
        <v>348</v>
      </c>
      <c r="G519" t="s">
        <v>581</v>
      </c>
      <c r="H519" t="s">
        <v>582</v>
      </c>
      <c r="M519" t="s">
        <v>1003</v>
      </c>
      <c r="N519">
        <v>33.604700000000001</v>
      </c>
      <c r="O519">
        <v>-116.45269999999999</v>
      </c>
      <c r="P519">
        <v>1281</v>
      </c>
      <c r="Q519">
        <v>11</v>
      </c>
      <c r="R519">
        <v>2006</v>
      </c>
      <c r="S519">
        <v>2016</v>
      </c>
      <c r="T519" t="s">
        <v>2561</v>
      </c>
      <c r="U519" t="s">
        <v>2568</v>
      </c>
      <c r="Z519">
        <v>2007</v>
      </c>
      <c r="AB519" t="s">
        <v>1442</v>
      </c>
    </row>
    <row r="520" spans="1:28" x14ac:dyDescent="0.25">
      <c r="A520" t="s">
        <v>2569</v>
      </c>
      <c r="B520" t="s">
        <v>2570</v>
      </c>
      <c r="C520" t="s">
        <v>2571</v>
      </c>
      <c r="D520" t="s">
        <v>346</v>
      </c>
      <c r="E520" t="s">
        <v>347</v>
      </c>
      <c r="F520" t="s">
        <v>348</v>
      </c>
      <c r="G520" t="s">
        <v>367</v>
      </c>
      <c r="H520" t="s">
        <v>368</v>
      </c>
      <c r="I520" t="s">
        <v>1302</v>
      </c>
      <c r="J520" t="s">
        <v>1303</v>
      </c>
      <c r="M520" t="s">
        <v>1003</v>
      </c>
      <c r="N520">
        <v>42.069299999999998</v>
      </c>
      <c r="O520">
        <v>-101.4072</v>
      </c>
      <c r="P520">
        <v>1081</v>
      </c>
      <c r="Q520">
        <v>6</v>
      </c>
      <c r="R520">
        <v>2004</v>
      </c>
      <c r="S520">
        <v>2009</v>
      </c>
      <c r="T520" t="s">
        <v>2044</v>
      </c>
      <c r="U520" t="s">
        <v>2572</v>
      </c>
      <c r="Z520">
        <v>2004</v>
      </c>
      <c r="AB520" t="s">
        <v>720</v>
      </c>
    </row>
    <row r="521" spans="1:28" x14ac:dyDescent="0.25">
      <c r="A521" t="s">
        <v>2573</v>
      </c>
      <c r="B521" t="s">
        <v>2574</v>
      </c>
      <c r="C521" t="s">
        <v>2259</v>
      </c>
      <c r="D521" t="s">
        <v>375</v>
      </c>
      <c r="E521" t="s">
        <v>348</v>
      </c>
      <c r="F521" t="s">
        <v>348</v>
      </c>
      <c r="G521" t="s">
        <v>933</v>
      </c>
      <c r="H521" t="s">
        <v>934</v>
      </c>
      <c r="I521" t="s">
        <v>913</v>
      </c>
      <c r="J521" t="s">
        <v>914</v>
      </c>
      <c r="K521">
        <v>406</v>
      </c>
      <c r="L521">
        <v>10.039999999999999</v>
      </c>
      <c r="M521" t="s">
        <v>1003</v>
      </c>
      <c r="N521">
        <v>39.659399999999998</v>
      </c>
      <c r="O521">
        <v>-105.0127</v>
      </c>
      <c r="P521">
        <v>1618</v>
      </c>
      <c r="Q521">
        <v>0</v>
      </c>
      <c r="Z521">
        <v>2010</v>
      </c>
      <c r="AA521">
        <v>2014</v>
      </c>
    </row>
    <row r="522" spans="1:28" x14ac:dyDescent="0.25">
      <c r="A522" t="s">
        <v>77</v>
      </c>
      <c r="B522" t="s">
        <v>2575</v>
      </c>
      <c r="C522" t="s">
        <v>1607</v>
      </c>
      <c r="D522" t="s">
        <v>346</v>
      </c>
      <c r="E522" t="s">
        <v>347</v>
      </c>
      <c r="F522" t="s">
        <v>347</v>
      </c>
      <c r="G522" t="s">
        <v>367</v>
      </c>
      <c r="H522" t="s">
        <v>368</v>
      </c>
      <c r="I522" t="s">
        <v>913</v>
      </c>
      <c r="J522" t="s">
        <v>914</v>
      </c>
      <c r="K522">
        <v>273.30399999999997</v>
      </c>
      <c r="L522">
        <v>13.667</v>
      </c>
      <c r="M522" t="s">
        <v>1003</v>
      </c>
      <c r="N522">
        <v>34.362299999999998</v>
      </c>
      <c r="O522">
        <v>-106.702</v>
      </c>
      <c r="P522">
        <v>1596</v>
      </c>
      <c r="Q522">
        <v>18</v>
      </c>
      <c r="R522">
        <v>2007</v>
      </c>
      <c r="S522">
        <v>2024</v>
      </c>
      <c r="T522" t="s">
        <v>1774</v>
      </c>
      <c r="U522" t="s">
        <v>2576</v>
      </c>
      <c r="V522">
        <v>2007</v>
      </c>
      <c r="W522">
        <v>2021</v>
      </c>
      <c r="X522" t="s">
        <v>2577</v>
      </c>
      <c r="Y522" t="s">
        <v>2578</v>
      </c>
      <c r="Z522">
        <v>2007</v>
      </c>
      <c r="AB522" t="s">
        <v>2146</v>
      </c>
    </row>
    <row r="523" spans="1:28" x14ac:dyDescent="0.25">
      <c r="A523" t="s">
        <v>78</v>
      </c>
      <c r="B523" t="s">
        <v>2579</v>
      </c>
      <c r="C523" t="s">
        <v>1607</v>
      </c>
      <c r="D523" t="s">
        <v>346</v>
      </c>
      <c r="E523" t="s">
        <v>347</v>
      </c>
      <c r="F523" t="s">
        <v>347</v>
      </c>
      <c r="G523" t="s">
        <v>581</v>
      </c>
      <c r="H523" t="s">
        <v>582</v>
      </c>
      <c r="I523" t="s">
        <v>913</v>
      </c>
      <c r="J523" t="s">
        <v>914</v>
      </c>
      <c r="K523">
        <v>275.08199999999999</v>
      </c>
      <c r="L523">
        <v>13.722</v>
      </c>
      <c r="M523" t="s">
        <v>1003</v>
      </c>
      <c r="N523">
        <v>34.334899999999998</v>
      </c>
      <c r="O523">
        <v>-106.74420000000001</v>
      </c>
      <c r="P523">
        <v>1604</v>
      </c>
      <c r="Q523">
        <v>18</v>
      </c>
      <c r="R523">
        <v>2007</v>
      </c>
      <c r="S523">
        <v>2024</v>
      </c>
      <c r="T523" t="s">
        <v>1774</v>
      </c>
      <c r="U523" t="s">
        <v>2580</v>
      </c>
      <c r="V523">
        <v>2007</v>
      </c>
      <c r="W523">
        <v>2021</v>
      </c>
      <c r="X523" t="s">
        <v>2577</v>
      </c>
      <c r="Y523" t="s">
        <v>2581</v>
      </c>
      <c r="Z523">
        <v>2007</v>
      </c>
      <c r="AB523" t="s">
        <v>2146</v>
      </c>
    </row>
    <row r="524" spans="1:28" x14ac:dyDescent="0.25">
      <c r="A524" t="s">
        <v>2582</v>
      </c>
      <c r="B524" t="s">
        <v>2583</v>
      </c>
      <c r="C524" t="s">
        <v>1328</v>
      </c>
      <c r="D524" t="s">
        <v>375</v>
      </c>
      <c r="E524" t="s">
        <v>347</v>
      </c>
      <c r="F524" t="s">
        <v>348</v>
      </c>
      <c r="G524" t="s">
        <v>349</v>
      </c>
      <c r="H524" t="s">
        <v>350</v>
      </c>
      <c r="M524" t="s">
        <v>1003</v>
      </c>
      <c r="N524">
        <v>43.2408</v>
      </c>
      <c r="O524">
        <v>-96.902000000000001</v>
      </c>
      <c r="P524">
        <v>386</v>
      </c>
      <c r="Q524">
        <v>3</v>
      </c>
      <c r="R524">
        <v>2007</v>
      </c>
      <c r="S524">
        <v>2009</v>
      </c>
      <c r="T524" t="s">
        <v>2584</v>
      </c>
      <c r="U524" t="s">
        <v>2585</v>
      </c>
      <c r="Z524">
        <v>2007</v>
      </c>
      <c r="AB524" t="s">
        <v>2586</v>
      </c>
    </row>
    <row r="525" spans="1:28" x14ac:dyDescent="0.25">
      <c r="A525" t="s">
        <v>2587</v>
      </c>
      <c r="B525" t="s">
        <v>2588</v>
      </c>
      <c r="C525" t="s">
        <v>2589</v>
      </c>
      <c r="D525" t="s">
        <v>375</v>
      </c>
      <c r="E525" t="s">
        <v>348</v>
      </c>
      <c r="F525" t="s">
        <v>348</v>
      </c>
      <c r="G525" t="s">
        <v>513</v>
      </c>
      <c r="H525" t="s">
        <v>514</v>
      </c>
      <c r="I525" t="s">
        <v>1302</v>
      </c>
      <c r="J525" t="s">
        <v>1303</v>
      </c>
      <c r="K525">
        <v>827</v>
      </c>
      <c r="L525">
        <v>5.3</v>
      </c>
      <c r="M525" t="s">
        <v>1003</v>
      </c>
      <c r="N525">
        <v>39.4315</v>
      </c>
      <c r="O525">
        <v>-120.2398</v>
      </c>
      <c r="P525">
        <v>1934</v>
      </c>
      <c r="Q525">
        <v>0</v>
      </c>
      <c r="Z525">
        <v>2017</v>
      </c>
    </row>
    <row r="526" spans="1:28" x14ac:dyDescent="0.25">
      <c r="A526" t="s">
        <v>2590</v>
      </c>
      <c r="B526" t="s">
        <v>2591</v>
      </c>
      <c r="C526" t="s">
        <v>2216</v>
      </c>
      <c r="D526" t="s">
        <v>375</v>
      </c>
      <c r="E526" t="s">
        <v>347</v>
      </c>
      <c r="F526" t="s">
        <v>348</v>
      </c>
      <c r="G526" t="s">
        <v>367</v>
      </c>
      <c r="H526" t="s">
        <v>368</v>
      </c>
      <c r="I526" t="s">
        <v>360</v>
      </c>
      <c r="J526" t="s">
        <v>361</v>
      </c>
      <c r="K526">
        <v>897.91</v>
      </c>
      <c r="L526">
        <v>14.32</v>
      </c>
      <c r="M526" t="s">
        <v>1003</v>
      </c>
      <c r="N526">
        <v>36.933300000000003</v>
      </c>
      <c r="O526">
        <v>-96.683300000000003</v>
      </c>
      <c r="P526">
        <v>346</v>
      </c>
      <c r="Q526">
        <v>4</v>
      </c>
      <c r="R526">
        <v>1997</v>
      </c>
      <c r="S526">
        <v>2000</v>
      </c>
      <c r="T526" t="s">
        <v>2409</v>
      </c>
      <c r="U526" t="s">
        <v>2592</v>
      </c>
      <c r="Z526">
        <v>1997</v>
      </c>
      <c r="AA526">
        <v>2001</v>
      </c>
      <c r="AB526" t="s">
        <v>720</v>
      </c>
    </row>
    <row r="527" spans="1:28" x14ac:dyDescent="0.25">
      <c r="A527" t="s">
        <v>2593</v>
      </c>
      <c r="B527" t="s">
        <v>2594</v>
      </c>
      <c r="C527" t="s">
        <v>1730</v>
      </c>
      <c r="D527" t="s">
        <v>375</v>
      </c>
      <c r="E527" t="s">
        <v>348</v>
      </c>
      <c r="F527" t="s">
        <v>348</v>
      </c>
      <c r="G527" t="s">
        <v>376</v>
      </c>
      <c r="H527" t="s">
        <v>377</v>
      </c>
      <c r="I527" t="s">
        <v>360</v>
      </c>
      <c r="J527" t="s">
        <v>361</v>
      </c>
      <c r="K527">
        <v>1120</v>
      </c>
      <c r="L527">
        <v>13.5</v>
      </c>
      <c r="M527" t="s">
        <v>1003</v>
      </c>
      <c r="N527">
        <v>40.805199999999999</v>
      </c>
      <c r="O527">
        <v>-74.045699999999997</v>
      </c>
      <c r="P527">
        <v>1</v>
      </c>
      <c r="Q527">
        <v>0</v>
      </c>
      <c r="Z527">
        <v>2011</v>
      </c>
      <c r="AA527">
        <v>2013</v>
      </c>
    </row>
    <row r="528" spans="1:28" x14ac:dyDescent="0.25">
      <c r="A528" t="s">
        <v>2595</v>
      </c>
      <c r="B528" t="s">
        <v>2596</v>
      </c>
      <c r="C528" t="s">
        <v>2270</v>
      </c>
      <c r="D528" t="s">
        <v>375</v>
      </c>
      <c r="E528" t="s">
        <v>348</v>
      </c>
      <c r="F528" t="s">
        <v>348</v>
      </c>
      <c r="G528" t="s">
        <v>349</v>
      </c>
      <c r="H528" t="s">
        <v>350</v>
      </c>
      <c r="I528" t="s">
        <v>573</v>
      </c>
      <c r="J528" t="s">
        <v>574</v>
      </c>
      <c r="K528">
        <v>328.1</v>
      </c>
      <c r="L528">
        <v>15</v>
      </c>
      <c r="M528" t="s">
        <v>1003</v>
      </c>
      <c r="N528">
        <v>38.174700000000001</v>
      </c>
      <c r="O528">
        <v>-121.5047</v>
      </c>
      <c r="P528">
        <v>-3.8</v>
      </c>
      <c r="Q528">
        <v>0</v>
      </c>
      <c r="Z528">
        <v>2012</v>
      </c>
      <c r="AA528">
        <v>2013</v>
      </c>
    </row>
    <row r="529" spans="1:28" x14ac:dyDescent="0.25">
      <c r="A529" t="s">
        <v>2597</v>
      </c>
      <c r="B529" t="s">
        <v>2598</v>
      </c>
      <c r="C529" t="s">
        <v>2270</v>
      </c>
      <c r="D529" t="s">
        <v>375</v>
      </c>
      <c r="E529" t="s">
        <v>348</v>
      </c>
      <c r="F529" t="s">
        <v>348</v>
      </c>
      <c r="G529" t="s">
        <v>349</v>
      </c>
      <c r="H529" t="s">
        <v>350</v>
      </c>
      <c r="I529" t="s">
        <v>573</v>
      </c>
      <c r="J529" t="s">
        <v>574</v>
      </c>
      <c r="K529">
        <v>328.1</v>
      </c>
      <c r="L529">
        <v>15</v>
      </c>
      <c r="M529" t="s">
        <v>1003</v>
      </c>
      <c r="N529">
        <v>38.175800000000002</v>
      </c>
      <c r="O529">
        <v>-121.5167</v>
      </c>
      <c r="P529">
        <v>-3.8</v>
      </c>
      <c r="Q529">
        <v>0</v>
      </c>
      <c r="Z529">
        <v>2011</v>
      </c>
      <c r="AA529">
        <v>2013</v>
      </c>
    </row>
    <row r="530" spans="1:28" x14ac:dyDescent="0.25">
      <c r="A530" t="s">
        <v>2599</v>
      </c>
      <c r="B530" t="s">
        <v>2600</v>
      </c>
      <c r="C530" t="s">
        <v>2550</v>
      </c>
      <c r="D530" t="s">
        <v>375</v>
      </c>
      <c r="E530" t="s">
        <v>348</v>
      </c>
      <c r="F530" t="s">
        <v>348</v>
      </c>
      <c r="G530" t="s">
        <v>376</v>
      </c>
      <c r="H530" t="s">
        <v>377</v>
      </c>
      <c r="M530" t="s">
        <v>1003</v>
      </c>
      <c r="N530">
        <v>33.662300000000002</v>
      </c>
      <c r="O530">
        <v>-117.8514</v>
      </c>
      <c r="P530">
        <v>3</v>
      </c>
      <c r="Q530">
        <v>0</v>
      </c>
      <c r="Z530">
        <v>1999</v>
      </c>
    </row>
    <row r="531" spans="1:28" x14ac:dyDescent="0.25">
      <c r="A531" t="s">
        <v>2601</v>
      </c>
      <c r="B531" t="s">
        <v>2602</v>
      </c>
      <c r="C531" t="s">
        <v>2550</v>
      </c>
      <c r="D531" t="s">
        <v>375</v>
      </c>
      <c r="E531" t="s">
        <v>348</v>
      </c>
      <c r="F531" t="s">
        <v>348</v>
      </c>
      <c r="G531" t="s">
        <v>376</v>
      </c>
      <c r="H531" t="s">
        <v>377</v>
      </c>
      <c r="M531" t="s">
        <v>1003</v>
      </c>
      <c r="N531">
        <v>33.659599999999998</v>
      </c>
      <c r="O531">
        <v>-117.855</v>
      </c>
      <c r="P531">
        <v>3</v>
      </c>
      <c r="Q531">
        <v>0</v>
      </c>
      <c r="Z531">
        <v>2003</v>
      </c>
    </row>
    <row r="532" spans="1:28" x14ac:dyDescent="0.25">
      <c r="A532" t="s">
        <v>2603</v>
      </c>
      <c r="B532" t="s">
        <v>2604</v>
      </c>
      <c r="C532" t="s">
        <v>2605</v>
      </c>
      <c r="D532" t="s">
        <v>375</v>
      </c>
      <c r="E532" t="s">
        <v>347</v>
      </c>
      <c r="F532" t="s">
        <v>348</v>
      </c>
      <c r="G532" t="s">
        <v>397</v>
      </c>
      <c r="H532" t="s">
        <v>398</v>
      </c>
      <c r="I532" t="s">
        <v>435</v>
      </c>
      <c r="J532" t="s">
        <v>436</v>
      </c>
      <c r="K532">
        <v>1259</v>
      </c>
      <c r="L532">
        <v>23.77</v>
      </c>
      <c r="M532" t="s">
        <v>1003</v>
      </c>
      <c r="N532">
        <v>25.3629</v>
      </c>
      <c r="O532">
        <v>-81.077600000000004</v>
      </c>
      <c r="P532">
        <v>0</v>
      </c>
      <c r="Q532">
        <v>20</v>
      </c>
      <c r="R532">
        <v>2004</v>
      </c>
      <c r="S532">
        <v>2023</v>
      </c>
      <c r="T532" t="s">
        <v>2606</v>
      </c>
      <c r="U532" t="s">
        <v>2607</v>
      </c>
      <c r="Z532">
        <v>2004</v>
      </c>
      <c r="AB532" t="s">
        <v>2608</v>
      </c>
    </row>
    <row r="533" spans="1:28" x14ac:dyDescent="0.25">
      <c r="A533" t="s">
        <v>2609</v>
      </c>
      <c r="B533" t="s">
        <v>2610</v>
      </c>
      <c r="C533" t="s">
        <v>1297</v>
      </c>
      <c r="D533" t="s">
        <v>346</v>
      </c>
      <c r="E533" t="s">
        <v>347</v>
      </c>
      <c r="F533" t="s">
        <v>348</v>
      </c>
      <c r="G533" t="s">
        <v>428</v>
      </c>
      <c r="H533" t="s">
        <v>429</v>
      </c>
      <c r="I533" t="s">
        <v>1175</v>
      </c>
      <c r="J533" t="s">
        <v>1176</v>
      </c>
      <c r="K533">
        <v>1138</v>
      </c>
      <c r="L533">
        <v>11.04</v>
      </c>
      <c r="M533" t="s">
        <v>1003</v>
      </c>
      <c r="N533">
        <v>39.913800000000002</v>
      </c>
      <c r="O533">
        <v>-74.596000000000004</v>
      </c>
      <c r="P533">
        <v>30</v>
      </c>
      <c r="Q533">
        <v>10</v>
      </c>
      <c r="R533">
        <v>2005</v>
      </c>
      <c r="S533">
        <v>2014</v>
      </c>
      <c r="T533" t="s">
        <v>1298</v>
      </c>
      <c r="U533" t="s">
        <v>2611</v>
      </c>
      <c r="Z533">
        <v>2004</v>
      </c>
      <c r="AB533" t="s">
        <v>720</v>
      </c>
    </row>
    <row r="534" spans="1:28" x14ac:dyDescent="0.25">
      <c r="A534" t="s">
        <v>2612</v>
      </c>
      <c r="B534" t="s">
        <v>2613</v>
      </c>
      <c r="C534" t="s">
        <v>1959</v>
      </c>
      <c r="D534" t="s">
        <v>375</v>
      </c>
      <c r="E534" t="s">
        <v>348</v>
      </c>
      <c r="F534" t="s">
        <v>348</v>
      </c>
      <c r="G534" t="s">
        <v>349</v>
      </c>
      <c r="H534" t="s">
        <v>350</v>
      </c>
      <c r="I534" t="s">
        <v>913</v>
      </c>
      <c r="J534" t="s">
        <v>914</v>
      </c>
      <c r="K534">
        <v>559</v>
      </c>
      <c r="L534">
        <v>12.9</v>
      </c>
      <c r="M534" t="s">
        <v>1003</v>
      </c>
      <c r="N534">
        <v>36.3934</v>
      </c>
      <c r="O534">
        <v>-100.9537</v>
      </c>
      <c r="P534">
        <v>897</v>
      </c>
      <c r="Q534">
        <v>0</v>
      </c>
      <c r="Z534">
        <v>2021</v>
      </c>
    </row>
    <row r="535" spans="1:28" x14ac:dyDescent="0.25">
      <c r="A535" t="s">
        <v>2614</v>
      </c>
      <c r="B535" t="s">
        <v>2615</v>
      </c>
      <c r="C535" t="s">
        <v>1160</v>
      </c>
      <c r="D535" t="s">
        <v>346</v>
      </c>
      <c r="E535" t="s">
        <v>347</v>
      </c>
      <c r="F535" t="s">
        <v>348</v>
      </c>
      <c r="G535" t="s">
        <v>367</v>
      </c>
      <c r="H535" t="s">
        <v>368</v>
      </c>
      <c r="I535" t="s">
        <v>632</v>
      </c>
      <c r="J535" t="s">
        <v>633</v>
      </c>
      <c r="K535">
        <v>358</v>
      </c>
      <c r="L535">
        <v>15.6</v>
      </c>
      <c r="M535" t="s">
        <v>1003</v>
      </c>
      <c r="N535">
        <v>38.0366</v>
      </c>
      <c r="O535">
        <v>-121.754</v>
      </c>
      <c r="P535">
        <v>-5</v>
      </c>
      <c r="Q535">
        <v>8</v>
      </c>
      <c r="R535">
        <v>2007</v>
      </c>
      <c r="S535">
        <v>2014</v>
      </c>
      <c r="T535" t="s">
        <v>2616</v>
      </c>
      <c r="U535" t="s">
        <v>2617</v>
      </c>
      <c r="Z535">
        <v>2007</v>
      </c>
      <c r="AA535">
        <v>2015</v>
      </c>
      <c r="AB535" t="s">
        <v>720</v>
      </c>
    </row>
    <row r="536" spans="1:28" x14ac:dyDescent="0.25">
      <c r="A536" t="s">
        <v>79</v>
      </c>
      <c r="B536" t="s">
        <v>2618</v>
      </c>
      <c r="C536" t="s">
        <v>1160</v>
      </c>
      <c r="D536" t="s">
        <v>346</v>
      </c>
      <c r="E536" t="s">
        <v>347</v>
      </c>
      <c r="F536" t="s">
        <v>347</v>
      </c>
      <c r="G536" t="s">
        <v>367</v>
      </c>
      <c r="H536" t="s">
        <v>368</v>
      </c>
      <c r="I536" t="s">
        <v>632</v>
      </c>
      <c r="J536" t="s">
        <v>633</v>
      </c>
      <c r="K536">
        <v>311</v>
      </c>
      <c r="L536">
        <v>16.09</v>
      </c>
      <c r="M536" t="s">
        <v>1003</v>
      </c>
      <c r="N536">
        <v>38.036900000000003</v>
      </c>
      <c r="O536">
        <v>-121.7547</v>
      </c>
      <c r="P536">
        <v>-5</v>
      </c>
      <c r="Q536">
        <v>5</v>
      </c>
      <c r="R536">
        <v>2016</v>
      </c>
      <c r="S536">
        <v>2020</v>
      </c>
      <c r="T536" t="s">
        <v>1227</v>
      </c>
      <c r="U536" t="s">
        <v>2619</v>
      </c>
      <c r="V536">
        <v>2016</v>
      </c>
      <c r="W536">
        <v>2020</v>
      </c>
      <c r="X536" t="s">
        <v>1227</v>
      </c>
      <c r="Y536" t="s">
        <v>2620</v>
      </c>
      <c r="Z536">
        <v>2016</v>
      </c>
      <c r="AA536">
        <v>2021</v>
      </c>
      <c r="AB536" t="s">
        <v>2621</v>
      </c>
    </row>
    <row r="537" spans="1:28" x14ac:dyDescent="0.25">
      <c r="A537" t="s">
        <v>80</v>
      </c>
      <c r="B537" t="s">
        <v>2622</v>
      </c>
      <c r="C537" t="s">
        <v>1167</v>
      </c>
      <c r="D537" t="s">
        <v>346</v>
      </c>
      <c r="E537" t="s">
        <v>347</v>
      </c>
      <c r="F537" t="s">
        <v>347</v>
      </c>
      <c r="G537" t="s">
        <v>367</v>
      </c>
      <c r="H537" t="s">
        <v>368</v>
      </c>
      <c r="I537" t="s">
        <v>632</v>
      </c>
      <c r="J537" t="s">
        <v>633</v>
      </c>
      <c r="M537" t="s">
        <v>1003</v>
      </c>
      <c r="N537">
        <v>38.040199999999999</v>
      </c>
      <c r="O537">
        <v>-121.7272</v>
      </c>
      <c r="P537">
        <v>-4</v>
      </c>
      <c r="Q537">
        <v>3</v>
      </c>
      <c r="R537">
        <v>2018</v>
      </c>
      <c r="S537">
        <v>2020</v>
      </c>
      <c r="T537" t="s">
        <v>506</v>
      </c>
      <c r="U537" t="s">
        <v>2623</v>
      </c>
      <c r="V537">
        <v>2018</v>
      </c>
      <c r="W537">
        <v>2020</v>
      </c>
      <c r="X537" t="s">
        <v>506</v>
      </c>
      <c r="Y537" t="s">
        <v>2624</v>
      </c>
      <c r="Z537">
        <v>2018</v>
      </c>
      <c r="AA537">
        <v>2020</v>
      </c>
      <c r="AB537" t="s">
        <v>2625</v>
      </c>
    </row>
    <row r="538" spans="1:28" x14ac:dyDescent="0.25">
      <c r="A538" t="s">
        <v>2626</v>
      </c>
      <c r="B538" t="s">
        <v>2627</v>
      </c>
      <c r="C538" t="s">
        <v>1119</v>
      </c>
      <c r="D538" t="s">
        <v>375</v>
      </c>
      <c r="E538" t="s">
        <v>347</v>
      </c>
      <c r="F538" t="s">
        <v>348</v>
      </c>
      <c r="G538" t="s">
        <v>925</v>
      </c>
      <c r="H538" t="s">
        <v>926</v>
      </c>
      <c r="I538" t="s">
        <v>632</v>
      </c>
      <c r="J538" t="s">
        <v>633</v>
      </c>
      <c r="K538">
        <v>553</v>
      </c>
      <c r="L538">
        <v>13.63</v>
      </c>
      <c r="M538" t="s">
        <v>1003</v>
      </c>
      <c r="N538">
        <v>33.373800000000003</v>
      </c>
      <c r="O538">
        <v>-116.6228</v>
      </c>
      <c r="P538">
        <v>1394</v>
      </c>
      <c r="Q538">
        <v>10</v>
      </c>
      <c r="R538">
        <v>1997</v>
      </c>
      <c r="S538">
        <v>2006</v>
      </c>
      <c r="T538" t="s">
        <v>2628</v>
      </c>
      <c r="U538" t="s">
        <v>2629</v>
      </c>
      <c r="Z538">
        <v>1997</v>
      </c>
      <c r="AB538" t="s">
        <v>720</v>
      </c>
    </row>
    <row r="539" spans="1:28" x14ac:dyDescent="0.25">
      <c r="A539" t="s">
        <v>2630</v>
      </c>
      <c r="B539" t="s">
        <v>2631</v>
      </c>
      <c r="C539" t="s">
        <v>1119</v>
      </c>
      <c r="D539" t="s">
        <v>375</v>
      </c>
      <c r="E539" t="s">
        <v>347</v>
      </c>
      <c r="F539" t="s">
        <v>348</v>
      </c>
      <c r="G539" t="s">
        <v>925</v>
      </c>
      <c r="H539" t="s">
        <v>926</v>
      </c>
      <c r="I539" t="s">
        <v>632</v>
      </c>
      <c r="J539" t="s">
        <v>633</v>
      </c>
      <c r="K539">
        <v>576</v>
      </c>
      <c r="L539">
        <v>13.29</v>
      </c>
      <c r="M539" t="s">
        <v>1003</v>
      </c>
      <c r="N539">
        <v>33.377099999999999</v>
      </c>
      <c r="O539">
        <v>-116.62260000000001</v>
      </c>
      <c r="P539">
        <v>1429</v>
      </c>
      <c r="Q539">
        <v>10</v>
      </c>
      <c r="R539">
        <v>1997</v>
      </c>
      <c r="S539">
        <v>2006</v>
      </c>
      <c r="T539" t="s">
        <v>2628</v>
      </c>
      <c r="U539" t="s">
        <v>2632</v>
      </c>
      <c r="Z539">
        <v>1997</v>
      </c>
      <c r="AB539" t="s">
        <v>720</v>
      </c>
    </row>
    <row r="540" spans="1:28" x14ac:dyDescent="0.25">
      <c r="A540" t="s">
        <v>2633</v>
      </c>
      <c r="B540" t="s">
        <v>2634</v>
      </c>
      <c r="C540" t="s">
        <v>1119</v>
      </c>
      <c r="D540" t="s">
        <v>375</v>
      </c>
      <c r="E540" t="s">
        <v>347</v>
      </c>
      <c r="F540" t="s">
        <v>348</v>
      </c>
      <c r="G540" t="s">
        <v>925</v>
      </c>
      <c r="H540" t="s">
        <v>926</v>
      </c>
      <c r="I540" t="s">
        <v>632</v>
      </c>
      <c r="J540" t="s">
        <v>633</v>
      </c>
      <c r="M540" t="s">
        <v>1003</v>
      </c>
      <c r="N540">
        <v>33.384500000000003</v>
      </c>
      <c r="O540">
        <v>-116.64060000000001</v>
      </c>
      <c r="P540">
        <v>1429</v>
      </c>
      <c r="Q540">
        <v>3</v>
      </c>
      <c r="R540">
        <v>2004</v>
      </c>
      <c r="S540">
        <v>2006</v>
      </c>
      <c r="T540" t="s">
        <v>850</v>
      </c>
      <c r="U540" t="s">
        <v>2635</v>
      </c>
      <c r="Z540">
        <v>2004</v>
      </c>
      <c r="AB540" t="s">
        <v>720</v>
      </c>
    </row>
    <row r="541" spans="1:28" x14ac:dyDescent="0.25">
      <c r="A541" t="s">
        <v>2636</v>
      </c>
      <c r="B541" t="s">
        <v>2637</v>
      </c>
      <c r="C541" t="s">
        <v>2638</v>
      </c>
      <c r="D541" t="s">
        <v>346</v>
      </c>
      <c r="E541" t="s">
        <v>347</v>
      </c>
      <c r="F541" t="s">
        <v>347</v>
      </c>
      <c r="G541" t="s">
        <v>513</v>
      </c>
      <c r="H541" t="s">
        <v>514</v>
      </c>
      <c r="I541" t="s">
        <v>360</v>
      </c>
      <c r="J541" t="s">
        <v>361</v>
      </c>
      <c r="K541">
        <v>1309.77</v>
      </c>
      <c r="L541">
        <v>20.059999999999999</v>
      </c>
      <c r="M541" t="s">
        <v>1003</v>
      </c>
      <c r="N541">
        <v>29.738099999999999</v>
      </c>
      <c r="O541">
        <v>-82.218800000000002</v>
      </c>
      <c r="P541">
        <v>50</v>
      </c>
      <c r="Q541">
        <v>21</v>
      </c>
      <c r="R541">
        <v>2000</v>
      </c>
      <c r="S541">
        <v>2020</v>
      </c>
      <c r="T541" t="s">
        <v>2639</v>
      </c>
      <c r="U541" t="s">
        <v>2640</v>
      </c>
      <c r="V541">
        <v>2000</v>
      </c>
      <c r="W541">
        <v>2020</v>
      </c>
      <c r="X541" t="s">
        <v>2639</v>
      </c>
      <c r="Y541" t="s">
        <v>2641</v>
      </c>
      <c r="Z541">
        <v>2000</v>
      </c>
      <c r="AB541" t="s">
        <v>2642</v>
      </c>
    </row>
    <row r="542" spans="1:28" x14ac:dyDescent="0.25">
      <c r="A542" t="s">
        <v>2643</v>
      </c>
      <c r="B542" t="s">
        <v>2644</v>
      </c>
      <c r="C542" t="s">
        <v>2638</v>
      </c>
      <c r="D542" t="s">
        <v>346</v>
      </c>
      <c r="E542" t="s">
        <v>347</v>
      </c>
      <c r="F542" t="s">
        <v>348</v>
      </c>
      <c r="G542" t="s">
        <v>513</v>
      </c>
      <c r="H542" t="s">
        <v>514</v>
      </c>
      <c r="I542" t="s">
        <v>360</v>
      </c>
      <c r="J542" t="s">
        <v>361</v>
      </c>
      <c r="K542">
        <v>1314.41</v>
      </c>
      <c r="L542">
        <v>20.07</v>
      </c>
      <c r="M542" t="s">
        <v>1003</v>
      </c>
      <c r="N542">
        <v>29.764800000000001</v>
      </c>
      <c r="O542">
        <v>-82.244799999999998</v>
      </c>
      <c r="P542">
        <v>50</v>
      </c>
      <c r="Q542">
        <v>10</v>
      </c>
      <c r="R542">
        <v>1999</v>
      </c>
      <c r="S542">
        <v>2008</v>
      </c>
      <c r="T542" t="s">
        <v>2645</v>
      </c>
      <c r="U542" t="s">
        <v>2646</v>
      </c>
      <c r="Z542">
        <v>1999</v>
      </c>
      <c r="AA542">
        <v>2009</v>
      </c>
      <c r="AB542" t="s">
        <v>720</v>
      </c>
    </row>
    <row r="543" spans="1:28" x14ac:dyDescent="0.25">
      <c r="A543" t="s">
        <v>2647</v>
      </c>
      <c r="B543" t="s">
        <v>2648</v>
      </c>
      <c r="C543" t="s">
        <v>2638</v>
      </c>
      <c r="D543" t="s">
        <v>346</v>
      </c>
      <c r="E543" t="s">
        <v>347</v>
      </c>
      <c r="F543" t="s">
        <v>348</v>
      </c>
      <c r="G543" t="s">
        <v>513</v>
      </c>
      <c r="H543" t="s">
        <v>514</v>
      </c>
      <c r="I543" t="s">
        <v>360</v>
      </c>
      <c r="J543" t="s">
        <v>361</v>
      </c>
      <c r="K543">
        <v>1312.35</v>
      </c>
      <c r="L543">
        <v>20.25</v>
      </c>
      <c r="M543" t="s">
        <v>1003</v>
      </c>
      <c r="N543">
        <v>29.754799999999999</v>
      </c>
      <c r="O543">
        <v>-82.163300000000007</v>
      </c>
      <c r="P543">
        <v>50</v>
      </c>
      <c r="Q543">
        <v>12</v>
      </c>
      <c r="R543">
        <v>1999</v>
      </c>
      <c r="S543">
        <v>2010</v>
      </c>
      <c r="T543" t="s">
        <v>521</v>
      </c>
      <c r="U543" t="s">
        <v>2649</v>
      </c>
      <c r="Z543">
        <v>1999</v>
      </c>
      <c r="AA543">
        <v>2013</v>
      </c>
      <c r="AB543" t="s">
        <v>720</v>
      </c>
    </row>
    <row r="544" spans="1:28" x14ac:dyDescent="0.25">
      <c r="A544" t="s">
        <v>2650</v>
      </c>
      <c r="B544" t="s">
        <v>2651</v>
      </c>
      <c r="C544" t="s">
        <v>2638</v>
      </c>
      <c r="D544" t="s">
        <v>346</v>
      </c>
      <c r="E544" t="s">
        <v>347</v>
      </c>
      <c r="F544" t="s">
        <v>348</v>
      </c>
      <c r="G544" t="s">
        <v>513</v>
      </c>
      <c r="H544" t="s">
        <v>514</v>
      </c>
      <c r="I544" t="s">
        <v>360</v>
      </c>
      <c r="J544" t="s">
        <v>361</v>
      </c>
      <c r="K544">
        <v>1319.63</v>
      </c>
      <c r="L544">
        <v>20</v>
      </c>
      <c r="M544" t="s">
        <v>1003</v>
      </c>
      <c r="N544">
        <v>29.802800000000001</v>
      </c>
      <c r="O544">
        <v>-82.203100000000006</v>
      </c>
      <c r="P544">
        <v>47</v>
      </c>
      <c r="Q544">
        <v>1</v>
      </c>
      <c r="R544">
        <v>1998</v>
      </c>
      <c r="S544">
        <v>1998</v>
      </c>
      <c r="T544">
        <v>1998</v>
      </c>
      <c r="U544" t="s">
        <v>2652</v>
      </c>
      <c r="Z544">
        <v>1998</v>
      </c>
      <c r="AA544">
        <v>1998</v>
      </c>
      <c r="AB544" t="s">
        <v>2653</v>
      </c>
    </row>
    <row r="545" spans="1:28" x14ac:dyDescent="0.25">
      <c r="A545" t="s">
        <v>2654</v>
      </c>
      <c r="B545" t="s">
        <v>2655</v>
      </c>
      <c r="C545" t="s">
        <v>2656</v>
      </c>
      <c r="D545" t="s">
        <v>346</v>
      </c>
      <c r="E545" t="s">
        <v>347</v>
      </c>
      <c r="F545" t="s">
        <v>347</v>
      </c>
      <c r="G545" t="s">
        <v>581</v>
      </c>
      <c r="H545" t="s">
        <v>582</v>
      </c>
      <c r="I545" t="s">
        <v>920</v>
      </c>
      <c r="J545" t="s">
        <v>921</v>
      </c>
      <c r="K545">
        <v>330</v>
      </c>
      <c r="L545">
        <v>22</v>
      </c>
      <c r="M545" t="s">
        <v>1003</v>
      </c>
      <c r="N545">
        <v>31.908300000000001</v>
      </c>
      <c r="O545">
        <v>-110.8395</v>
      </c>
      <c r="P545">
        <v>950</v>
      </c>
      <c r="Q545">
        <v>7</v>
      </c>
      <c r="R545">
        <v>2008</v>
      </c>
      <c r="S545">
        <v>2014</v>
      </c>
      <c r="T545" t="s">
        <v>2657</v>
      </c>
      <c r="U545" t="s">
        <v>2658</v>
      </c>
      <c r="V545">
        <v>2008</v>
      </c>
      <c r="W545">
        <v>2014</v>
      </c>
      <c r="X545" t="s">
        <v>2657</v>
      </c>
      <c r="Y545" t="s">
        <v>2659</v>
      </c>
      <c r="Z545">
        <v>2008</v>
      </c>
      <c r="AA545">
        <v>2018</v>
      </c>
      <c r="AB545" t="s">
        <v>2660</v>
      </c>
    </row>
    <row r="546" spans="1:28" x14ac:dyDescent="0.25">
      <c r="A546" t="s">
        <v>81</v>
      </c>
      <c r="B546" t="s">
        <v>2661</v>
      </c>
      <c r="C546" t="s">
        <v>1344</v>
      </c>
      <c r="D546" t="s">
        <v>346</v>
      </c>
      <c r="E546" t="s">
        <v>347</v>
      </c>
      <c r="F546" t="s">
        <v>347</v>
      </c>
      <c r="G546" t="s">
        <v>367</v>
      </c>
      <c r="H546" t="s">
        <v>368</v>
      </c>
      <c r="I546" t="s">
        <v>913</v>
      </c>
      <c r="J546" t="s">
        <v>914</v>
      </c>
      <c r="K546">
        <v>420</v>
      </c>
      <c r="L546">
        <v>17</v>
      </c>
      <c r="M546" t="s">
        <v>1003</v>
      </c>
      <c r="N546">
        <v>31.789400000000001</v>
      </c>
      <c r="O546">
        <v>-110.82769999999999</v>
      </c>
      <c r="P546">
        <v>1291</v>
      </c>
      <c r="Q546">
        <v>17</v>
      </c>
      <c r="R546">
        <v>2008</v>
      </c>
      <c r="S546">
        <v>2024</v>
      </c>
      <c r="T546" t="s">
        <v>2143</v>
      </c>
      <c r="U546" t="s">
        <v>2662</v>
      </c>
      <c r="V546">
        <v>2008</v>
      </c>
      <c r="W546">
        <v>2023</v>
      </c>
      <c r="X546" t="s">
        <v>1556</v>
      </c>
      <c r="Y546" t="s">
        <v>2663</v>
      </c>
      <c r="Z546">
        <v>2008</v>
      </c>
      <c r="AB546" t="s">
        <v>2664</v>
      </c>
    </row>
    <row r="547" spans="1:28" x14ac:dyDescent="0.25">
      <c r="A547" t="s">
        <v>2665</v>
      </c>
      <c r="B547" t="s">
        <v>2666</v>
      </c>
      <c r="C547" t="s">
        <v>1344</v>
      </c>
      <c r="D547" t="s">
        <v>346</v>
      </c>
      <c r="E547" t="s">
        <v>347</v>
      </c>
      <c r="F547" t="s">
        <v>347</v>
      </c>
      <c r="G547" t="s">
        <v>433</v>
      </c>
      <c r="H547" t="s">
        <v>434</v>
      </c>
      <c r="I547" t="s">
        <v>913</v>
      </c>
      <c r="J547" t="s">
        <v>914</v>
      </c>
      <c r="K547">
        <v>380</v>
      </c>
      <c r="L547">
        <v>17.920000000000002</v>
      </c>
      <c r="M547" t="s">
        <v>1003</v>
      </c>
      <c r="N547">
        <v>31.821400000000001</v>
      </c>
      <c r="O547">
        <v>-110.8661</v>
      </c>
      <c r="P547">
        <v>1120</v>
      </c>
      <c r="Q547">
        <v>21</v>
      </c>
      <c r="R547">
        <v>2004</v>
      </c>
      <c r="S547">
        <v>2024</v>
      </c>
      <c r="T547" t="s">
        <v>1128</v>
      </c>
      <c r="U547" t="s">
        <v>2667</v>
      </c>
      <c r="V547">
        <v>2004</v>
      </c>
      <c r="W547">
        <v>2023</v>
      </c>
      <c r="X547" t="s">
        <v>2606</v>
      </c>
      <c r="Y547" t="s">
        <v>2668</v>
      </c>
      <c r="Z547">
        <v>2004</v>
      </c>
      <c r="AB547" t="s">
        <v>2669</v>
      </c>
    </row>
    <row r="548" spans="1:28" x14ac:dyDescent="0.25">
      <c r="A548" t="s">
        <v>2670</v>
      </c>
      <c r="B548" t="s">
        <v>2671</v>
      </c>
      <c r="C548" t="s">
        <v>2270</v>
      </c>
      <c r="D548" t="s">
        <v>346</v>
      </c>
      <c r="E548" t="s">
        <v>347</v>
      </c>
      <c r="F548" t="s">
        <v>347</v>
      </c>
      <c r="G548" t="s">
        <v>376</v>
      </c>
      <c r="H548" t="s">
        <v>377</v>
      </c>
      <c r="I548" t="s">
        <v>632</v>
      </c>
      <c r="J548" t="s">
        <v>633</v>
      </c>
      <c r="K548">
        <v>326</v>
      </c>
      <c r="L548">
        <v>15.1</v>
      </c>
      <c r="M548" t="s">
        <v>1003</v>
      </c>
      <c r="N548">
        <v>38.200600000000001</v>
      </c>
      <c r="O548">
        <v>-122.0264</v>
      </c>
      <c r="P548">
        <v>8</v>
      </c>
      <c r="Q548">
        <v>4</v>
      </c>
      <c r="R548">
        <v>2014</v>
      </c>
      <c r="S548">
        <v>2017</v>
      </c>
      <c r="T548" t="s">
        <v>2672</v>
      </c>
      <c r="U548" t="s">
        <v>2673</v>
      </c>
      <c r="V548">
        <v>2014</v>
      </c>
      <c r="W548">
        <v>2017</v>
      </c>
      <c r="X548" t="s">
        <v>2672</v>
      </c>
      <c r="Y548" t="s">
        <v>2674</v>
      </c>
      <c r="Z548">
        <v>2014</v>
      </c>
      <c r="AB548" t="s">
        <v>2675</v>
      </c>
    </row>
    <row r="549" spans="1:28" x14ac:dyDescent="0.25">
      <c r="A549" t="s">
        <v>82</v>
      </c>
      <c r="B549" t="s">
        <v>2676</v>
      </c>
      <c r="C549" t="s">
        <v>1843</v>
      </c>
      <c r="D549" t="s">
        <v>346</v>
      </c>
      <c r="E549" t="s">
        <v>347</v>
      </c>
      <c r="F549" t="s">
        <v>347</v>
      </c>
      <c r="G549" t="s">
        <v>433</v>
      </c>
      <c r="H549" t="s">
        <v>434</v>
      </c>
      <c r="I549" t="s">
        <v>913</v>
      </c>
      <c r="J549" t="s">
        <v>914</v>
      </c>
      <c r="K549">
        <v>388</v>
      </c>
      <c r="L549">
        <v>19.399999999999999</v>
      </c>
      <c r="M549" t="s">
        <v>1003</v>
      </c>
      <c r="N549">
        <v>31.817299999999999</v>
      </c>
      <c r="O549">
        <v>-110.85080000000001</v>
      </c>
      <c r="P549">
        <v>1169</v>
      </c>
      <c r="Q549">
        <v>8</v>
      </c>
      <c r="R549">
        <v>2011</v>
      </c>
      <c r="S549">
        <v>2018</v>
      </c>
      <c r="T549" t="s">
        <v>2677</v>
      </c>
      <c r="U549" t="s">
        <v>2678</v>
      </c>
      <c r="V549">
        <v>2011</v>
      </c>
      <c r="W549">
        <v>2018</v>
      </c>
      <c r="X549" t="s">
        <v>2677</v>
      </c>
      <c r="Y549" t="s">
        <v>2679</v>
      </c>
      <c r="Z549">
        <v>2011</v>
      </c>
      <c r="AA549">
        <v>2019</v>
      </c>
      <c r="AB549" t="s">
        <v>1847</v>
      </c>
    </row>
    <row r="550" spans="1:28" x14ac:dyDescent="0.25">
      <c r="A550" t="s">
        <v>2680</v>
      </c>
      <c r="B550" t="s">
        <v>2681</v>
      </c>
      <c r="C550" t="s">
        <v>1333</v>
      </c>
      <c r="D550" t="s">
        <v>346</v>
      </c>
      <c r="E550" t="s">
        <v>347</v>
      </c>
      <c r="F550" t="s">
        <v>347</v>
      </c>
      <c r="G550" t="s">
        <v>428</v>
      </c>
      <c r="H550" t="s">
        <v>429</v>
      </c>
      <c r="I550" t="s">
        <v>481</v>
      </c>
      <c r="J550" t="s">
        <v>482</v>
      </c>
      <c r="K550">
        <v>1050</v>
      </c>
      <c r="L550">
        <v>9.5</v>
      </c>
      <c r="M550" t="s">
        <v>1003</v>
      </c>
      <c r="N550">
        <v>40.665799999999997</v>
      </c>
      <c r="O550">
        <v>-77.9041</v>
      </c>
      <c r="P550">
        <v>310</v>
      </c>
      <c r="Q550">
        <v>6</v>
      </c>
      <c r="R550">
        <v>2016</v>
      </c>
      <c r="S550">
        <v>2021</v>
      </c>
      <c r="T550" t="s">
        <v>1163</v>
      </c>
      <c r="U550" t="s">
        <v>2682</v>
      </c>
      <c r="V550">
        <v>2016</v>
      </c>
      <c r="W550">
        <v>2021</v>
      </c>
      <c r="X550" t="s">
        <v>1163</v>
      </c>
      <c r="Y550" t="s">
        <v>2683</v>
      </c>
      <c r="Z550">
        <v>2009</v>
      </c>
      <c r="AB550" t="s">
        <v>2684</v>
      </c>
    </row>
    <row r="551" spans="1:28" x14ac:dyDescent="0.25">
      <c r="A551" t="s">
        <v>2685</v>
      </c>
      <c r="B551" t="s">
        <v>2686</v>
      </c>
      <c r="C551" t="s">
        <v>2687</v>
      </c>
      <c r="D551" t="s">
        <v>346</v>
      </c>
      <c r="E551" t="s">
        <v>347</v>
      </c>
      <c r="F551" t="s">
        <v>348</v>
      </c>
      <c r="G551" t="s">
        <v>581</v>
      </c>
      <c r="H551" t="s">
        <v>582</v>
      </c>
      <c r="I551" t="s">
        <v>415</v>
      </c>
      <c r="J551" t="s">
        <v>416</v>
      </c>
      <c r="L551">
        <v>5.0999999999999996</v>
      </c>
      <c r="M551" t="s">
        <v>1003</v>
      </c>
      <c r="N551">
        <v>41.396599999999999</v>
      </c>
      <c r="O551">
        <v>-106.80240000000001</v>
      </c>
      <c r="P551">
        <v>2069</v>
      </c>
      <c r="Q551">
        <v>5</v>
      </c>
      <c r="R551">
        <v>2005</v>
      </c>
      <c r="S551">
        <v>2009</v>
      </c>
      <c r="T551" t="s">
        <v>1937</v>
      </c>
      <c r="U551" t="s">
        <v>2688</v>
      </c>
      <c r="Z551">
        <v>2006</v>
      </c>
      <c r="AA551">
        <v>2009</v>
      </c>
      <c r="AB551" t="s">
        <v>2689</v>
      </c>
    </row>
    <row r="552" spans="1:28" x14ac:dyDescent="0.25">
      <c r="A552" t="s">
        <v>2690</v>
      </c>
      <c r="B552" t="s">
        <v>2691</v>
      </c>
      <c r="C552" t="s">
        <v>2692</v>
      </c>
      <c r="D552" t="s">
        <v>346</v>
      </c>
      <c r="E552" t="s">
        <v>347</v>
      </c>
      <c r="F552" t="s">
        <v>347</v>
      </c>
      <c r="G552" t="s">
        <v>376</v>
      </c>
      <c r="H552" t="s">
        <v>377</v>
      </c>
      <c r="I552" t="s">
        <v>360</v>
      </c>
      <c r="J552" t="s">
        <v>361</v>
      </c>
      <c r="K552">
        <v>1121</v>
      </c>
      <c r="L552">
        <v>13.5</v>
      </c>
      <c r="M552" t="s">
        <v>1003</v>
      </c>
      <c r="N552">
        <v>39.088200000000001</v>
      </c>
      <c r="O552">
        <v>-75.437200000000004</v>
      </c>
      <c r="P552">
        <v>6.7</v>
      </c>
      <c r="Q552">
        <v>4</v>
      </c>
      <c r="R552">
        <v>2014</v>
      </c>
      <c r="S552">
        <v>2017</v>
      </c>
      <c r="T552" t="s">
        <v>2672</v>
      </c>
      <c r="U552" t="s">
        <v>2693</v>
      </c>
      <c r="V552">
        <v>2015</v>
      </c>
      <c r="W552">
        <v>2017</v>
      </c>
      <c r="X552" t="s">
        <v>927</v>
      </c>
      <c r="Y552" t="s">
        <v>2694</v>
      </c>
      <c r="Z552">
        <v>2015</v>
      </c>
      <c r="AB552" t="s">
        <v>2695</v>
      </c>
    </row>
    <row r="553" spans="1:28" x14ac:dyDescent="0.25">
      <c r="A553" t="s">
        <v>2696</v>
      </c>
      <c r="B553" t="s">
        <v>2697</v>
      </c>
      <c r="C553" t="s">
        <v>2698</v>
      </c>
      <c r="D553" t="s">
        <v>346</v>
      </c>
      <c r="E553" t="s">
        <v>348</v>
      </c>
      <c r="F553" t="s">
        <v>348</v>
      </c>
      <c r="G553" t="s">
        <v>376</v>
      </c>
      <c r="H553" t="s">
        <v>377</v>
      </c>
      <c r="I553" t="s">
        <v>360</v>
      </c>
      <c r="J553" t="s">
        <v>361</v>
      </c>
      <c r="K553">
        <v>1300</v>
      </c>
      <c r="L553">
        <v>18.100000000000001</v>
      </c>
      <c r="M553" t="s">
        <v>1003</v>
      </c>
      <c r="N553">
        <v>33.330199999999998</v>
      </c>
      <c r="O553">
        <v>-79.249200000000002</v>
      </c>
      <c r="P553">
        <v>0</v>
      </c>
      <c r="Q553">
        <v>0</v>
      </c>
      <c r="Z553">
        <v>2015</v>
      </c>
      <c r="AA553">
        <v>2016</v>
      </c>
    </row>
    <row r="554" spans="1:28" x14ac:dyDescent="0.25">
      <c r="A554" t="s">
        <v>2699</v>
      </c>
      <c r="B554" t="s">
        <v>2700</v>
      </c>
      <c r="C554" t="s">
        <v>2701</v>
      </c>
      <c r="D554" t="s">
        <v>346</v>
      </c>
      <c r="E554" t="s">
        <v>347</v>
      </c>
      <c r="F554" t="s">
        <v>348</v>
      </c>
      <c r="G554" t="s">
        <v>349</v>
      </c>
      <c r="H554" t="s">
        <v>350</v>
      </c>
      <c r="I554" t="s">
        <v>408</v>
      </c>
      <c r="J554" t="s">
        <v>409</v>
      </c>
      <c r="K554">
        <v>287</v>
      </c>
      <c r="L554">
        <v>24.1</v>
      </c>
      <c r="M554" t="s">
        <v>1003</v>
      </c>
      <c r="N554">
        <v>20.798100000000002</v>
      </c>
      <c r="O554">
        <v>-156.45400000000001</v>
      </c>
      <c r="P554">
        <v>21</v>
      </c>
      <c r="Q554">
        <v>2</v>
      </c>
      <c r="R554">
        <v>2013</v>
      </c>
      <c r="S554">
        <v>2014</v>
      </c>
      <c r="T554" t="s">
        <v>2099</v>
      </c>
      <c r="U554" t="s">
        <v>2702</v>
      </c>
      <c r="Z554">
        <v>2013</v>
      </c>
      <c r="AA554">
        <v>2013</v>
      </c>
      <c r="AB554" t="s">
        <v>2703</v>
      </c>
    </row>
    <row r="555" spans="1:28" x14ac:dyDescent="0.25">
      <c r="A555" t="s">
        <v>2704</v>
      </c>
      <c r="B555" t="s">
        <v>2705</v>
      </c>
      <c r="C555" t="s">
        <v>2701</v>
      </c>
      <c r="D555" t="s">
        <v>346</v>
      </c>
      <c r="E555" t="s">
        <v>347</v>
      </c>
      <c r="F555" t="s">
        <v>348</v>
      </c>
      <c r="G555" t="s">
        <v>349</v>
      </c>
      <c r="H555" t="s">
        <v>350</v>
      </c>
      <c r="I555" t="s">
        <v>408</v>
      </c>
      <c r="J555" t="s">
        <v>409</v>
      </c>
      <c r="K555">
        <v>334</v>
      </c>
      <c r="L555">
        <v>24.4</v>
      </c>
      <c r="M555" t="s">
        <v>1003</v>
      </c>
      <c r="N555">
        <v>20.784700000000001</v>
      </c>
      <c r="O555">
        <v>-156.40389999999999</v>
      </c>
      <c r="P555">
        <v>203</v>
      </c>
      <c r="Q555">
        <v>4</v>
      </c>
      <c r="R555">
        <v>2011</v>
      </c>
      <c r="S555">
        <v>2014</v>
      </c>
      <c r="T555" t="s">
        <v>1583</v>
      </c>
      <c r="U555" t="s">
        <v>2706</v>
      </c>
      <c r="Z555">
        <v>2011</v>
      </c>
      <c r="AA555">
        <v>2013</v>
      </c>
      <c r="AB555" t="s">
        <v>2703</v>
      </c>
    </row>
    <row r="556" spans="1:28" x14ac:dyDescent="0.25">
      <c r="A556" t="s">
        <v>2707</v>
      </c>
      <c r="B556" t="s">
        <v>2708</v>
      </c>
      <c r="C556" t="s">
        <v>2701</v>
      </c>
      <c r="D556" t="s">
        <v>346</v>
      </c>
      <c r="E556" t="s">
        <v>347</v>
      </c>
      <c r="F556" t="s">
        <v>348</v>
      </c>
      <c r="G556" t="s">
        <v>349</v>
      </c>
      <c r="H556" t="s">
        <v>350</v>
      </c>
      <c r="I556" t="s">
        <v>408</v>
      </c>
      <c r="J556" t="s">
        <v>409</v>
      </c>
      <c r="K556">
        <v>366</v>
      </c>
      <c r="L556">
        <v>24.4</v>
      </c>
      <c r="M556" t="s">
        <v>1003</v>
      </c>
      <c r="N556">
        <v>20.8246</v>
      </c>
      <c r="O556">
        <v>-156.4913</v>
      </c>
      <c r="P556">
        <v>44</v>
      </c>
      <c r="Q556">
        <v>3</v>
      </c>
      <c r="R556">
        <v>2011</v>
      </c>
      <c r="S556">
        <v>2013</v>
      </c>
      <c r="T556" t="s">
        <v>1377</v>
      </c>
      <c r="U556" t="s">
        <v>2709</v>
      </c>
      <c r="Z556">
        <v>2011</v>
      </c>
      <c r="AA556">
        <v>2013</v>
      </c>
      <c r="AB556" t="s">
        <v>2703</v>
      </c>
    </row>
    <row r="557" spans="1:28" x14ac:dyDescent="0.25">
      <c r="A557" t="s">
        <v>2710</v>
      </c>
      <c r="B557" t="s">
        <v>2711</v>
      </c>
      <c r="C557" t="s">
        <v>1969</v>
      </c>
      <c r="D557" t="s">
        <v>346</v>
      </c>
      <c r="E557" t="s">
        <v>348</v>
      </c>
      <c r="F557" t="s">
        <v>348</v>
      </c>
      <c r="G557" t="s">
        <v>433</v>
      </c>
      <c r="H557" t="s">
        <v>434</v>
      </c>
      <c r="I557" t="s">
        <v>360</v>
      </c>
      <c r="J557" t="s">
        <v>361</v>
      </c>
      <c r="K557">
        <v>1183.8900000000001</v>
      </c>
      <c r="L557">
        <v>17.940000000000001</v>
      </c>
      <c r="M557" t="s">
        <v>1003</v>
      </c>
      <c r="N557">
        <v>33.3504</v>
      </c>
      <c r="O557">
        <v>-81.658000000000001</v>
      </c>
      <c r="P557">
        <v>94</v>
      </c>
      <c r="Q557">
        <v>0</v>
      </c>
      <c r="Z557">
        <v>2024</v>
      </c>
    </row>
    <row r="558" spans="1:28" x14ac:dyDescent="0.25">
      <c r="A558" t="s">
        <v>2712</v>
      </c>
      <c r="B558" t="s">
        <v>2713</v>
      </c>
      <c r="C558" t="s">
        <v>1969</v>
      </c>
      <c r="D558" t="s">
        <v>346</v>
      </c>
      <c r="E558" t="s">
        <v>348</v>
      </c>
      <c r="F558" t="s">
        <v>348</v>
      </c>
      <c r="G558" t="s">
        <v>433</v>
      </c>
      <c r="H558" t="s">
        <v>434</v>
      </c>
      <c r="I558" t="s">
        <v>360</v>
      </c>
      <c r="J558" t="s">
        <v>361</v>
      </c>
      <c r="K558">
        <v>1183.8900000000001</v>
      </c>
      <c r="L558">
        <v>17.940000000000001</v>
      </c>
      <c r="M558" t="s">
        <v>1003</v>
      </c>
      <c r="N558">
        <v>33.361600000000003</v>
      </c>
      <c r="O558">
        <v>-81.673000000000002</v>
      </c>
      <c r="P558">
        <v>103</v>
      </c>
      <c r="Q558">
        <v>0</v>
      </c>
      <c r="Z558">
        <v>2024</v>
      </c>
    </row>
    <row r="559" spans="1:28" x14ac:dyDescent="0.25">
      <c r="A559" t="s">
        <v>83</v>
      </c>
      <c r="B559" t="s">
        <v>2714</v>
      </c>
      <c r="C559" t="s">
        <v>1050</v>
      </c>
      <c r="D559" t="s">
        <v>346</v>
      </c>
      <c r="E559" t="s">
        <v>347</v>
      </c>
      <c r="F559" t="s">
        <v>347</v>
      </c>
      <c r="G559" t="s">
        <v>479</v>
      </c>
      <c r="H559" t="s">
        <v>480</v>
      </c>
      <c r="I559" t="s">
        <v>481</v>
      </c>
      <c r="J559" t="s">
        <v>482</v>
      </c>
      <c r="K559">
        <v>826</v>
      </c>
      <c r="L559">
        <v>3.81</v>
      </c>
      <c r="M559" t="s">
        <v>1003</v>
      </c>
      <c r="N559">
        <v>46.241999999999997</v>
      </c>
      <c r="O559">
        <v>-89.347700000000003</v>
      </c>
      <c r="P559">
        <v>540</v>
      </c>
      <c r="Q559">
        <v>24</v>
      </c>
      <c r="R559">
        <v>2001</v>
      </c>
      <c r="S559">
        <v>2024</v>
      </c>
      <c r="T559" t="s">
        <v>2217</v>
      </c>
      <c r="U559" t="s">
        <v>2715</v>
      </c>
      <c r="V559">
        <v>2001</v>
      </c>
      <c r="W559">
        <v>2023</v>
      </c>
      <c r="X559" t="s">
        <v>2716</v>
      </c>
      <c r="Y559" t="s">
        <v>2717</v>
      </c>
      <c r="Z559">
        <v>2001</v>
      </c>
      <c r="AB559" t="s">
        <v>2718</v>
      </c>
    </row>
    <row r="560" spans="1:28" x14ac:dyDescent="0.25">
      <c r="A560" t="s">
        <v>2719</v>
      </c>
      <c r="B560" t="s">
        <v>2720</v>
      </c>
      <c r="C560" t="s">
        <v>1660</v>
      </c>
      <c r="D560" t="s">
        <v>375</v>
      </c>
      <c r="E560" t="s">
        <v>348</v>
      </c>
      <c r="F560" t="s">
        <v>348</v>
      </c>
      <c r="G560" t="s">
        <v>349</v>
      </c>
      <c r="H560" t="s">
        <v>350</v>
      </c>
      <c r="I560" t="s">
        <v>573</v>
      </c>
      <c r="J560" t="s">
        <v>574</v>
      </c>
      <c r="K560">
        <v>437.4</v>
      </c>
      <c r="L560">
        <v>9.5</v>
      </c>
      <c r="M560" t="s">
        <v>1003</v>
      </c>
      <c r="N560">
        <v>47.124499999999998</v>
      </c>
      <c r="O560">
        <v>-117.53060000000001</v>
      </c>
      <c r="P560">
        <v>657</v>
      </c>
      <c r="Q560">
        <v>0</v>
      </c>
      <c r="Z560">
        <v>2018</v>
      </c>
    </row>
    <row r="561" spans="1:28" x14ac:dyDescent="0.25">
      <c r="A561" t="s">
        <v>2721</v>
      </c>
      <c r="B561" t="s">
        <v>2722</v>
      </c>
      <c r="C561" t="s">
        <v>1660</v>
      </c>
      <c r="D561" t="s">
        <v>375</v>
      </c>
      <c r="E561" t="s">
        <v>348</v>
      </c>
      <c r="F561" t="s">
        <v>348</v>
      </c>
      <c r="G561" t="s">
        <v>349</v>
      </c>
      <c r="H561" t="s">
        <v>350</v>
      </c>
      <c r="I561" t="s">
        <v>573</v>
      </c>
      <c r="J561" t="s">
        <v>574</v>
      </c>
      <c r="K561">
        <v>437.4</v>
      </c>
      <c r="L561">
        <v>9.5</v>
      </c>
      <c r="M561" t="s">
        <v>1003</v>
      </c>
      <c r="N561">
        <v>47.122599999999998</v>
      </c>
      <c r="O561">
        <v>-117.5271</v>
      </c>
      <c r="P561">
        <v>664</v>
      </c>
      <c r="Q561">
        <v>0</v>
      </c>
      <c r="Z561">
        <v>2018</v>
      </c>
    </row>
    <row r="562" spans="1:28" x14ac:dyDescent="0.25">
      <c r="A562" t="s">
        <v>2723</v>
      </c>
      <c r="B562" t="s">
        <v>2724</v>
      </c>
      <c r="C562" t="s">
        <v>1660</v>
      </c>
      <c r="D562" t="s">
        <v>375</v>
      </c>
      <c r="E562" t="s">
        <v>348</v>
      </c>
      <c r="F562" t="s">
        <v>348</v>
      </c>
      <c r="G562" t="s">
        <v>349</v>
      </c>
      <c r="H562" t="s">
        <v>350</v>
      </c>
      <c r="I562" t="s">
        <v>573</v>
      </c>
      <c r="J562" t="s">
        <v>574</v>
      </c>
      <c r="K562">
        <v>437.4</v>
      </c>
      <c r="L562">
        <v>9.5</v>
      </c>
      <c r="M562" t="s">
        <v>1003</v>
      </c>
      <c r="N562">
        <v>47.126100000000001</v>
      </c>
      <c r="O562">
        <v>-117.52670000000001</v>
      </c>
      <c r="P562">
        <v>687</v>
      </c>
      <c r="Q562">
        <v>0</v>
      </c>
      <c r="Z562">
        <v>2018</v>
      </c>
    </row>
    <row r="563" spans="1:28" x14ac:dyDescent="0.25">
      <c r="A563" t="s">
        <v>2725</v>
      </c>
      <c r="B563" t="s">
        <v>2726</v>
      </c>
      <c r="C563" t="s">
        <v>2605</v>
      </c>
      <c r="D563" t="s">
        <v>346</v>
      </c>
      <c r="E563" t="s">
        <v>347</v>
      </c>
      <c r="F563" t="s">
        <v>348</v>
      </c>
      <c r="G563" t="s">
        <v>376</v>
      </c>
      <c r="H563" t="s">
        <v>377</v>
      </c>
      <c r="I563" t="s">
        <v>435</v>
      </c>
      <c r="J563" t="s">
        <v>436</v>
      </c>
      <c r="K563">
        <v>986.8</v>
      </c>
      <c r="L563">
        <v>23.7</v>
      </c>
      <c r="M563" t="s">
        <v>1003</v>
      </c>
      <c r="N563">
        <v>25.190799999999999</v>
      </c>
      <c r="O563">
        <v>-80.639099999999999</v>
      </c>
      <c r="P563">
        <v>3</v>
      </c>
      <c r="Q563">
        <v>8</v>
      </c>
      <c r="R563">
        <v>2016</v>
      </c>
      <c r="S563">
        <v>2023</v>
      </c>
      <c r="T563" t="s">
        <v>2133</v>
      </c>
      <c r="U563" t="s">
        <v>2727</v>
      </c>
      <c r="Z563">
        <v>2016</v>
      </c>
      <c r="AA563">
        <v>2021</v>
      </c>
      <c r="AB563" t="s">
        <v>2728</v>
      </c>
    </row>
    <row r="564" spans="1:28" x14ac:dyDescent="0.25">
      <c r="A564" t="s">
        <v>2729</v>
      </c>
      <c r="B564" t="s">
        <v>2730</v>
      </c>
      <c r="C564" t="s">
        <v>1456</v>
      </c>
      <c r="D564" t="s">
        <v>346</v>
      </c>
      <c r="E564" t="s">
        <v>348</v>
      </c>
      <c r="F564" t="s">
        <v>348</v>
      </c>
      <c r="G564" t="s">
        <v>376</v>
      </c>
      <c r="H564" t="s">
        <v>377</v>
      </c>
      <c r="I564" t="s">
        <v>360</v>
      </c>
      <c r="J564" t="s">
        <v>361</v>
      </c>
      <c r="K564">
        <v>1312</v>
      </c>
      <c r="L564">
        <v>23.6</v>
      </c>
      <c r="M564" t="s">
        <v>1003</v>
      </c>
      <c r="N564">
        <v>25.822099999999999</v>
      </c>
      <c r="O564">
        <v>-81.101699999999994</v>
      </c>
      <c r="P564">
        <v>1.2</v>
      </c>
      <c r="Q564">
        <v>0</v>
      </c>
      <c r="Z564">
        <v>2012</v>
      </c>
      <c r="AA564">
        <v>2020</v>
      </c>
    </row>
    <row r="565" spans="1:28" x14ac:dyDescent="0.25">
      <c r="A565" t="s">
        <v>2731</v>
      </c>
      <c r="B565" t="s">
        <v>2732</v>
      </c>
      <c r="C565" t="s">
        <v>1190</v>
      </c>
      <c r="D565" t="s">
        <v>346</v>
      </c>
      <c r="E565" t="s">
        <v>347</v>
      </c>
      <c r="F565" t="s">
        <v>348</v>
      </c>
      <c r="G565" t="s">
        <v>513</v>
      </c>
      <c r="H565" t="s">
        <v>514</v>
      </c>
      <c r="I565" t="s">
        <v>539</v>
      </c>
      <c r="J565" t="s">
        <v>540</v>
      </c>
      <c r="K565">
        <v>880</v>
      </c>
      <c r="L565">
        <v>0</v>
      </c>
      <c r="M565" t="s">
        <v>1003</v>
      </c>
      <c r="N565">
        <v>46.952199999999998</v>
      </c>
      <c r="O565">
        <v>-110.88509999999999</v>
      </c>
      <c r="P565">
        <v>2280</v>
      </c>
      <c r="Q565">
        <v>3</v>
      </c>
      <c r="R565">
        <v>2010</v>
      </c>
      <c r="S565">
        <v>2012</v>
      </c>
      <c r="T565" t="s">
        <v>1475</v>
      </c>
      <c r="U565" t="s">
        <v>2733</v>
      </c>
      <c r="Z565">
        <v>2010</v>
      </c>
      <c r="AB565" t="s">
        <v>2734</v>
      </c>
    </row>
    <row r="566" spans="1:28" x14ac:dyDescent="0.25">
      <c r="A566" t="s">
        <v>2735</v>
      </c>
      <c r="B566" t="s">
        <v>2736</v>
      </c>
      <c r="C566" t="s">
        <v>1869</v>
      </c>
      <c r="D566" t="s">
        <v>375</v>
      </c>
      <c r="E566" t="s">
        <v>348</v>
      </c>
      <c r="F566" t="s">
        <v>348</v>
      </c>
      <c r="G566" t="s">
        <v>479</v>
      </c>
      <c r="H566" t="s">
        <v>480</v>
      </c>
      <c r="I566" t="s">
        <v>481</v>
      </c>
      <c r="J566" t="s">
        <v>482</v>
      </c>
      <c r="K566">
        <v>1170</v>
      </c>
      <c r="L566">
        <v>8.9</v>
      </c>
      <c r="M566" t="s">
        <v>1003</v>
      </c>
      <c r="N566">
        <v>43.108400000000003</v>
      </c>
      <c r="O566">
        <v>-70.952299999999994</v>
      </c>
      <c r="P566">
        <v>23.3</v>
      </c>
      <c r="Q566">
        <v>0</v>
      </c>
      <c r="Z566">
        <v>2014</v>
      </c>
    </row>
    <row r="567" spans="1:28" x14ac:dyDescent="0.25">
      <c r="A567" t="s">
        <v>2737</v>
      </c>
      <c r="B567" t="s">
        <v>2738</v>
      </c>
      <c r="C567" t="s">
        <v>2739</v>
      </c>
      <c r="D567" t="s">
        <v>346</v>
      </c>
      <c r="E567" t="s">
        <v>348</v>
      </c>
      <c r="F567" t="s">
        <v>348</v>
      </c>
      <c r="G567" t="s">
        <v>479</v>
      </c>
      <c r="H567" t="s">
        <v>480</v>
      </c>
      <c r="I567" t="s">
        <v>360</v>
      </c>
      <c r="J567" t="s">
        <v>361</v>
      </c>
      <c r="K567">
        <v>469.4</v>
      </c>
      <c r="L567">
        <v>19</v>
      </c>
      <c r="M567" t="s">
        <v>1003</v>
      </c>
      <c r="N567">
        <v>35.916800000000002</v>
      </c>
      <c r="O567">
        <v>-76.146299999999997</v>
      </c>
      <c r="P567">
        <v>1</v>
      </c>
      <c r="Q567">
        <v>0</v>
      </c>
      <c r="Z567">
        <v>2024</v>
      </c>
      <c r="AA567">
        <v>2024</v>
      </c>
    </row>
    <row r="568" spans="1:28" x14ac:dyDescent="0.25">
      <c r="A568" t="s">
        <v>84</v>
      </c>
      <c r="B568" t="s">
        <v>2740</v>
      </c>
      <c r="C568" t="s">
        <v>1160</v>
      </c>
      <c r="D568" t="s">
        <v>346</v>
      </c>
      <c r="E568" t="s">
        <v>347</v>
      </c>
      <c r="F568" t="s">
        <v>347</v>
      </c>
      <c r="G568" t="s">
        <v>433</v>
      </c>
      <c r="H568" t="s">
        <v>434</v>
      </c>
      <c r="I568" t="s">
        <v>632</v>
      </c>
      <c r="J568" t="s">
        <v>633</v>
      </c>
      <c r="K568">
        <v>559</v>
      </c>
      <c r="L568">
        <v>15.8</v>
      </c>
      <c r="M568" t="s">
        <v>1003</v>
      </c>
      <c r="N568">
        <v>38.430900000000001</v>
      </c>
      <c r="O568">
        <v>-120.96599999999999</v>
      </c>
      <c r="P568">
        <v>177</v>
      </c>
      <c r="Q568">
        <v>24</v>
      </c>
      <c r="R568">
        <v>2001</v>
      </c>
      <c r="S568">
        <v>2024</v>
      </c>
      <c r="T568" t="s">
        <v>2217</v>
      </c>
      <c r="U568" t="s">
        <v>2741</v>
      </c>
      <c r="V568">
        <v>2001</v>
      </c>
      <c r="W568">
        <v>2023</v>
      </c>
      <c r="X568" t="s">
        <v>2716</v>
      </c>
      <c r="Y568" t="s">
        <v>2742</v>
      </c>
      <c r="Z568">
        <v>2001</v>
      </c>
      <c r="AB568" t="s">
        <v>2743</v>
      </c>
    </row>
    <row r="569" spans="1:28" x14ac:dyDescent="0.25">
      <c r="A569" t="s">
        <v>2744</v>
      </c>
      <c r="B569" t="s">
        <v>2745</v>
      </c>
      <c r="C569" t="s">
        <v>1190</v>
      </c>
      <c r="D569" t="s">
        <v>346</v>
      </c>
      <c r="E569" t="s">
        <v>347</v>
      </c>
      <c r="F569" t="s">
        <v>348</v>
      </c>
      <c r="G569" t="s">
        <v>918</v>
      </c>
      <c r="H569" t="s">
        <v>919</v>
      </c>
      <c r="I569" t="s">
        <v>481</v>
      </c>
      <c r="J569" t="s">
        <v>482</v>
      </c>
      <c r="K569">
        <v>787</v>
      </c>
      <c r="L569">
        <v>3.8</v>
      </c>
      <c r="M569" t="s">
        <v>1003</v>
      </c>
      <c r="N569">
        <v>46.041200000000003</v>
      </c>
      <c r="O569">
        <v>-89.686199999999999</v>
      </c>
      <c r="P569">
        <v>499</v>
      </c>
      <c r="Q569">
        <v>1</v>
      </c>
      <c r="R569">
        <v>2020</v>
      </c>
      <c r="S569">
        <v>2020</v>
      </c>
      <c r="T569">
        <v>2020</v>
      </c>
      <c r="U569" t="s">
        <v>2746</v>
      </c>
      <c r="Z569">
        <v>2020</v>
      </c>
      <c r="AB569" t="s">
        <v>2747</v>
      </c>
    </row>
    <row r="570" spans="1:28" x14ac:dyDescent="0.25">
      <c r="A570" t="s">
        <v>2748</v>
      </c>
      <c r="B570" t="s">
        <v>2749</v>
      </c>
      <c r="C570" t="s">
        <v>1190</v>
      </c>
      <c r="D570" t="s">
        <v>346</v>
      </c>
      <c r="E570" t="s">
        <v>347</v>
      </c>
      <c r="F570" t="s">
        <v>348</v>
      </c>
      <c r="G570" t="s">
        <v>918</v>
      </c>
      <c r="H570" t="s">
        <v>919</v>
      </c>
      <c r="I570" t="s">
        <v>481</v>
      </c>
      <c r="J570" t="s">
        <v>482</v>
      </c>
      <c r="K570">
        <v>787</v>
      </c>
      <c r="L570">
        <v>3.8</v>
      </c>
      <c r="M570" t="s">
        <v>1003</v>
      </c>
      <c r="N570">
        <v>46.003399999999999</v>
      </c>
      <c r="O570">
        <v>-89.705299999999994</v>
      </c>
      <c r="P570">
        <v>495</v>
      </c>
      <c r="Q570">
        <v>1</v>
      </c>
      <c r="R570">
        <v>2020</v>
      </c>
      <c r="S570">
        <v>2020</v>
      </c>
      <c r="T570">
        <v>2020</v>
      </c>
      <c r="U570" t="s">
        <v>2750</v>
      </c>
      <c r="Z570">
        <v>2020</v>
      </c>
      <c r="AB570" t="s">
        <v>2747</v>
      </c>
    </row>
    <row r="571" spans="1:28" x14ac:dyDescent="0.25">
      <c r="A571" t="s">
        <v>2751</v>
      </c>
      <c r="B571" t="s">
        <v>2752</v>
      </c>
      <c r="C571" t="s">
        <v>1483</v>
      </c>
      <c r="D571" t="s">
        <v>346</v>
      </c>
      <c r="E571" t="s">
        <v>347</v>
      </c>
      <c r="F571" t="s">
        <v>348</v>
      </c>
      <c r="G571" t="s">
        <v>367</v>
      </c>
      <c r="H571" t="s">
        <v>368</v>
      </c>
      <c r="I571" t="s">
        <v>481</v>
      </c>
      <c r="J571" t="s">
        <v>482</v>
      </c>
      <c r="K571">
        <v>670</v>
      </c>
      <c r="L571">
        <v>6.67</v>
      </c>
      <c r="M571" t="s">
        <v>1003</v>
      </c>
      <c r="N571">
        <v>45.557099999999998</v>
      </c>
      <c r="O571">
        <v>-111.2286</v>
      </c>
      <c r="P571">
        <v>1530</v>
      </c>
      <c r="Q571">
        <v>2</v>
      </c>
      <c r="R571">
        <v>2017</v>
      </c>
      <c r="S571">
        <v>2018</v>
      </c>
      <c r="T571" t="s">
        <v>951</v>
      </c>
      <c r="U571" t="s">
        <v>2753</v>
      </c>
      <c r="Z571">
        <v>2017</v>
      </c>
      <c r="AA571">
        <v>2018</v>
      </c>
      <c r="AB571" t="s">
        <v>2754</v>
      </c>
    </row>
    <row r="572" spans="1:28" x14ac:dyDescent="0.25">
      <c r="A572" t="s">
        <v>85</v>
      </c>
      <c r="B572" t="s">
        <v>2755</v>
      </c>
      <c r="C572" t="s">
        <v>1167</v>
      </c>
      <c r="D572" t="s">
        <v>346</v>
      </c>
      <c r="E572" t="s">
        <v>347</v>
      </c>
      <c r="F572" t="s">
        <v>347</v>
      </c>
      <c r="G572" t="s">
        <v>376</v>
      </c>
      <c r="H572" t="s">
        <v>377</v>
      </c>
      <c r="I572" t="s">
        <v>632</v>
      </c>
      <c r="J572" t="s">
        <v>633</v>
      </c>
      <c r="K572">
        <v>421</v>
      </c>
      <c r="L572">
        <v>15.5</v>
      </c>
      <c r="M572" t="s">
        <v>1003</v>
      </c>
      <c r="N572">
        <v>38.107399999999998</v>
      </c>
      <c r="O572">
        <v>-121.6469</v>
      </c>
      <c r="P572">
        <v>-5</v>
      </c>
      <c r="Q572">
        <v>13</v>
      </c>
      <c r="R572">
        <v>2011</v>
      </c>
      <c r="S572">
        <v>2023</v>
      </c>
      <c r="T572" t="s">
        <v>1950</v>
      </c>
      <c r="U572" t="s">
        <v>2756</v>
      </c>
      <c r="V572">
        <v>2011</v>
      </c>
      <c r="W572">
        <v>2023</v>
      </c>
      <c r="X572" t="s">
        <v>1950</v>
      </c>
      <c r="Y572" t="s">
        <v>2757</v>
      </c>
      <c r="Z572">
        <v>2012</v>
      </c>
      <c r="AA572">
        <v>2023</v>
      </c>
      <c r="AB572" t="s">
        <v>2758</v>
      </c>
    </row>
    <row r="573" spans="1:28" x14ac:dyDescent="0.25">
      <c r="A573" t="s">
        <v>2759</v>
      </c>
      <c r="B573" t="s">
        <v>2760</v>
      </c>
      <c r="C573" t="s">
        <v>1167</v>
      </c>
      <c r="D573" t="s">
        <v>346</v>
      </c>
      <c r="E573" t="s">
        <v>347</v>
      </c>
      <c r="F573" t="s">
        <v>347</v>
      </c>
      <c r="G573" t="s">
        <v>349</v>
      </c>
      <c r="H573" t="s">
        <v>350</v>
      </c>
      <c r="I573" t="s">
        <v>632</v>
      </c>
      <c r="J573" t="s">
        <v>633</v>
      </c>
      <c r="K573">
        <v>421</v>
      </c>
      <c r="L573">
        <v>15.5</v>
      </c>
      <c r="M573" t="s">
        <v>1003</v>
      </c>
      <c r="N573">
        <v>38.096899999999998</v>
      </c>
      <c r="O573">
        <v>-121.6365</v>
      </c>
      <c r="P573">
        <v>-5</v>
      </c>
      <c r="Q573">
        <v>2</v>
      </c>
      <c r="R573">
        <v>2012</v>
      </c>
      <c r="S573">
        <v>2013</v>
      </c>
      <c r="T573" t="s">
        <v>354</v>
      </c>
      <c r="U573" t="s">
        <v>2761</v>
      </c>
      <c r="V573">
        <v>2012</v>
      </c>
      <c r="W573">
        <v>2013</v>
      </c>
      <c r="X573" t="s">
        <v>354</v>
      </c>
      <c r="Y573" t="s">
        <v>2762</v>
      </c>
      <c r="Z573">
        <v>2012</v>
      </c>
      <c r="AA573">
        <v>2013</v>
      </c>
      <c r="AB573" t="s">
        <v>2763</v>
      </c>
    </row>
    <row r="574" spans="1:28" x14ac:dyDescent="0.25">
      <c r="A574" t="s">
        <v>86</v>
      </c>
      <c r="B574" t="s">
        <v>2764</v>
      </c>
      <c r="C574" t="s">
        <v>1167</v>
      </c>
      <c r="D574" t="s">
        <v>346</v>
      </c>
      <c r="E574" t="s">
        <v>347</v>
      </c>
      <c r="F574" t="s">
        <v>347</v>
      </c>
      <c r="G574" t="s">
        <v>349</v>
      </c>
      <c r="H574" t="s">
        <v>350</v>
      </c>
      <c r="I574" t="s">
        <v>632</v>
      </c>
      <c r="J574" t="s">
        <v>633</v>
      </c>
      <c r="K574">
        <v>421</v>
      </c>
      <c r="L574">
        <v>15.6</v>
      </c>
      <c r="M574" t="s">
        <v>1003</v>
      </c>
      <c r="N574">
        <v>38.115200000000002</v>
      </c>
      <c r="O574">
        <v>-121.6469</v>
      </c>
      <c r="P574">
        <v>-4</v>
      </c>
      <c r="Q574">
        <v>6</v>
      </c>
      <c r="R574">
        <v>2013</v>
      </c>
      <c r="S574">
        <v>2018</v>
      </c>
      <c r="T574" t="s">
        <v>2765</v>
      </c>
      <c r="U574" t="s">
        <v>2766</v>
      </c>
      <c r="V574">
        <v>2013</v>
      </c>
      <c r="W574">
        <v>2018</v>
      </c>
      <c r="X574" t="s">
        <v>2765</v>
      </c>
      <c r="Y574" t="s">
        <v>2767</v>
      </c>
      <c r="Z574">
        <v>2013</v>
      </c>
      <c r="AA574">
        <v>2018</v>
      </c>
      <c r="AB574" t="s">
        <v>2768</v>
      </c>
    </row>
    <row r="575" spans="1:28" x14ac:dyDescent="0.25">
      <c r="A575" t="s">
        <v>87</v>
      </c>
      <c r="B575" t="s">
        <v>2769</v>
      </c>
      <c r="C575" t="s">
        <v>1167</v>
      </c>
      <c r="D575" t="s">
        <v>346</v>
      </c>
      <c r="E575" t="s">
        <v>347</v>
      </c>
      <c r="F575" t="s">
        <v>347</v>
      </c>
      <c r="G575" t="s">
        <v>376</v>
      </c>
      <c r="H575" t="s">
        <v>377</v>
      </c>
      <c r="I575" t="s">
        <v>632</v>
      </c>
      <c r="J575" t="s">
        <v>633</v>
      </c>
      <c r="K575">
        <v>421</v>
      </c>
      <c r="L575">
        <v>15.6</v>
      </c>
      <c r="M575" t="s">
        <v>1003</v>
      </c>
      <c r="N575">
        <v>38.102699999999999</v>
      </c>
      <c r="O575">
        <v>-121.6413</v>
      </c>
      <c r="P575">
        <v>-5</v>
      </c>
      <c r="Q575">
        <v>11</v>
      </c>
      <c r="R575">
        <v>2013</v>
      </c>
      <c r="S575">
        <v>2023</v>
      </c>
      <c r="T575" t="s">
        <v>2770</v>
      </c>
      <c r="U575" t="s">
        <v>2771</v>
      </c>
      <c r="V575">
        <v>2013</v>
      </c>
      <c r="W575">
        <v>2023</v>
      </c>
      <c r="X575" t="s">
        <v>2770</v>
      </c>
      <c r="Y575" t="s">
        <v>2772</v>
      </c>
      <c r="Z575">
        <v>2013</v>
      </c>
      <c r="AB575" t="s">
        <v>2773</v>
      </c>
    </row>
    <row r="576" spans="1:28" x14ac:dyDescent="0.25">
      <c r="A576" t="s">
        <v>88</v>
      </c>
      <c r="B576" t="s">
        <v>2774</v>
      </c>
      <c r="C576" t="s">
        <v>1167</v>
      </c>
      <c r="D576" t="s">
        <v>346</v>
      </c>
      <c r="E576" t="s">
        <v>347</v>
      </c>
      <c r="F576" t="s">
        <v>347</v>
      </c>
      <c r="G576" t="s">
        <v>376</v>
      </c>
      <c r="H576" t="s">
        <v>377</v>
      </c>
      <c r="I576" t="s">
        <v>632</v>
      </c>
      <c r="J576" t="s">
        <v>633</v>
      </c>
      <c r="K576">
        <v>421</v>
      </c>
      <c r="L576">
        <v>15.5</v>
      </c>
      <c r="M576" t="s">
        <v>1003</v>
      </c>
      <c r="N576">
        <v>38.107199999999999</v>
      </c>
      <c r="O576">
        <v>-121.6426</v>
      </c>
      <c r="P576">
        <v>-5</v>
      </c>
      <c r="Q576">
        <v>3</v>
      </c>
      <c r="R576">
        <v>2018</v>
      </c>
      <c r="S576">
        <v>2020</v>
      </c>
      <c r="T576" t="s">
        <v>506</v>
      </c>
      <c r="U576" t="s">
        <v>2775</v>
      </c>
      <c r="V576">
        <v>2018</v>
      </c>
      <c r="W576">
        <v>2019</v>
      </c>
      <c r="X576" t="s">
        <v>985</v>
      </c>
      <c r="Y576" t="s">
        <v>2776</v>
      </c>
      <c r="Z576">
        <v>2018</v>
      </c>
      <c r="AA576">
        <v>2020</v>
      </c>
      <c r="AB576" t="s">
        <v>2758</v>
      </c>
    </row>
    <row r="577" spans="1:28" x14ac:dyDescent="0.25">
      <c r="A577" t="s">
        <v>2777</v>
      </c>
      <c r="B577" t="s">
        <v>2778</v>
      </c>
      <c r="C577" t="s">
        <v>1167</v>
      </c>
      <c r="D577" t="s">
        <v>346</v>
      </c>
      <c r="E577" t="s">
        <v>347</v>
      </c>
      <c r="F577" t="s">
        <v>348</v>
      </c>
      <c r="G577" t="s">
        <v>349</v>
      </c>
      <c r="H577" t="s">
        <v>350</v>
      </c>
      <c r="I577" t="s">
        <v>632</v>
      </c>
      <c r="J577" t="s">
        <v>633</v>
      </c>
      <c r="K577">
        <v>421</v>
      </c>
      <c r="L577">
        <v>15.6</v>
      </c>
      <c r="M577" t="s">
        <v>1003</v>
      </c>
      <c r="N577">
        <v>38.108699999999999</v>
      </c>
      <c r="O577">
        <v>-121.65309999999999</v>
      </c>
      <c r="P577">
        <v>-7</v>
      </c>
      <c r="Q577">
        <v>9</v>
      </c>
      <c r="R577">
        <v>2009</v>
      </c>
      <c r="S577">
        <v>2017</v>
      </c>
      <c r="T577" t="s">
        <v>1975</v>
      </c>
      <c r="U577" t="s">
        <v>2779</v>
      </c>
      <c r="Z577">
        <v>2009</v>
      </c>
      <c r="AA577">
        <v>2017</v>
      </c>
      <c r="AB577" t="s">
        <v>2780</v>
      </c>
    </row>
    <row r="578" spans="1:28" x14ac:dyDescent="0.25">
      <c r="A578" t="s">
        <v>2781</v>
      </c>
      <c r="B578" t="s">
        <v>2782</v>
      </c>
      <c r="C578" t="s">
        <v>2783</v>
      </c>
      <c r="D578" t="s">
        <v>375</v>
      </c>
      <c r="E578" t="s">
        <v>348</v>
      </c>
      <c r="F578" t="s">
        <v>348</v>
      </c>
      <c r="G578" t="s">
        <v>367</v>
      </c>
      <c r="H578" t="s">
        <v>368</v>
      </c>
      <c r="I578" t="s">
        <v>360</v>
      </c>
      <c r="J578" t="s">
        <v>361</v>
      </c>
      <c r="K578">
        <v>889</v>
      </c>
      <c r="L578">
        <v>25.6</v>
      </c>
      <c r="M578" t="s">
        <v>1003</v>
      </c>
      <c r="N578">
        <v>30.617599999999999</v>
      </c>
      <c r="O578">
        <v>-97.293800000000005</v>
      </c>
      <c r="P578">
        <v>157</v>
      </c>
      <c r="Q578">
        <v>0</v>
      </c>
      <c r="Z578">
        <v>2016</v>
      </c>
    </row>
    <row r="579" spans="1:28" x14ac:dyDescent="0.25">
      <c r="A579" t="s">
        <v>2784</v>
      </c>
      <c r="B579" t="s">
        <v>2785</v>
      </c>
      <c r="C579" t="s">
        <v>2783</v>
      </c>
      <c r="D579" t="s">
        <v>375</v>
      </c>
      <c r="E579" t="s">
        <v>348</v>
      </c>
      <c r="F579" t="s">
        <v>348</v>
      </c>
      <c r="G579" t="s">
        <v>367</v>
      </c>
      <c r="H579" t="s">
        <v>368</v>
      </c>
      <c r="I579" t="s">
        <v>360</v>
      </c>
      <c r="J579" t="s">
        <v>361</v>
      </c>
      <c r="K579">
        <v>914</v>
      </c>
      <c r="L579">
        <v>18.95</v>
      </c>
      <c r="M579" t="s">
        <v>1003</v>
      </c>
      <c r="N579">
        <v>31.4802</v>
      </c>
      <c r="O579">
        <v>-96.8827</v>
      </c>
      <c r="P579">
        <v>162</v>
      </c>
      <c r="Q579">
        <v>0</v>
      </c>
      <c r="Z579">
        <v>2016</v>
      </c>
    </row>
    <row r="580" spans="1:28" x14ac:dyDescent="0.25">
      <c r="A580" t="s">
        <v>2786</v>
      </c>
      <c r="B580" t="s">
        <v>2787</v>
      </c>
      <c r="C580" t="s">
        <v>2783</v>
      </c>
      <c r="D580" t="s">
        <v>375</v>
      </c>
      <c r="E580" t="s">
        <v>348</v>
      </c>
      <c r="F580" t="s">
        <v>348</v>
      </c>
      <c r="G580" t="s">
        <v>349</v>
      </c>
      <c r="H580" t="s">
        <v>350</v>
      </c>
      <c r="I580" t="s">
        <v>360</v>
      </c>
      <c r="J580" t="s">
        <v>361</v>
      </c>
      <c r="K580">
        <v>914</v>
      </c>
      <c r="L580">
        <v>18.95</v>
      </c>
      <c r="M580" t="s">
        <v>1003</v>
      </c>
      <c r="N580">
        <v>31.477699999999999</v>
      </c>
      <c r="O580">
        <v>-96.888300000000001</v>
      </c>
      <c r="P580">
        <v>167</v>
      </c>
      <c r="Q580">
        <v>0</v>
      </c>
      <c r="Z580">
        <v>2016</v>
      </c>
    </row>
    <row r="581" spans="1:28" x14ac:dyDescent="0.25">
      <c r="A581" t="s">
        <v>2788</v>
      </c>
      <c r="B581" t="s">
        <v>2789</v>
      </c>
      <c r="C581" t="s">
        <v>2783</v>
      </c>
      <c r="D581" t="s">
        <v>375</v>
      </c>
      <c r="E581" t="s">
        <v>348</v>
      </c>
      <c r="F581" t="s">
        <v>348</v>
      </c>
      <c r="G581" t="s">
        <v>349</v>
      </c>
      <c r="H581" t="s">
        <v>350</v>
      </c>
      <c r="I581" t="s">
        <v>360</v>
      </c>
      <c r="J581" t="s">
        <v>361</v>
      </c>
      <c r="K581">
        <v>914</v>
      </c>
      <c r="L581">
        <v>18.95</v>
      </c>
      <c r="M581" t="s">
        <v>1003</v>
      </c>
      <c r="N581">
        <v>31.4693</v>
      </c>
      <c r="O581">
        <v>-96.886499999999998</v>
      </c>
      <c r="P581">
        <v>173</v>
      </c>
      <c r="Q581">
        <v>0</v>
      </c>
      <c r="Z581">
        <v>2016</v>
      </c>
    </row>
    <row r="582" spans="1:28" x14ac:dyDescent="0.25">
      <c r="A582" t="s">
        <v>2790</v>
      </c>
      <c r="B582" t="s">
        <v>2791</v>
      </c>
      <c r="C582" t="s">
        <v>2783</v>
      </c>
      <c r="D582" t="s">
        <v>375</v>
      </c>
      <c r="E582" t="s">
        <v>348</v>
      </c>
      <c r="F582" t="s">
        <v>348</v>
      </c>
      <c r="G582" t="s">
        <v>446</v>
      </c>
      <c r="H582" t="s">
        <v>447</v>
      </c>
      <c r="I582" t="s">
        <v>360</v>
      </c>
      <c r="J582" t="s">
        <v>361</v>
      </c>
      <c r="K582">
        <v>991</v>
      </c>
      <c r="L582">
        <v>19.95</v>
      </c>
      <c r="M582" t="s">
        <v>1003</v>
      </c>
      <c r="N582">
        <v>30.532800000000002</v>
      </c>
      <c r="O582">
        <v>-96.425200000000004</v>
      </c>
      <c r="P582">
        <v>68</v>
      </c>
      <c r="Q582">
        <v>0</v>
      </c>
      <c r="Z582">
        <v>2016</v>
      </c>
    </row>
    <row r="583" spans="1:28" x14ac:dyDescent="0.25">
      <c r="A583" t="s">
        <v>2792</v>
      </c>
      <c r="B583" t="s">
        <v>2793</v>
      </c>
      <c r="C583" t="s">
        <v>2794</v>
      </c>
      <c r="D583" t="s">
        <v>375</v>
      </c>
      <c r="E583" t="s">
        <v>348</v>
      </c>
      <c r="F583" t="s">
        <v>348</v>
      </c>
      <c r="G583" t="s">
        <v>367</v>
      </c>
      <c r="H583" t="s">
        <v>368</v>
      </c>
      <c r="I583" t="s">
        <v>360</v>
      </c>
      <c r="J583" t="s">
        <v>361</v>
      </c>
      <c r="K583">
        <v>716</v>
      </c>
      <c r="L583">
        <v>22.2</v>
      </c>
      <c r="M583" t="s">
        <v>1003</v>
      </c>
      <c r="N583">
        <v>27.666599999999999</v>
      </c>
      <c r="O583">
        <v>-98.2089</v>
      </c>
      <c r="P583">
        <v>82</v>
      </c>
      <c r="Q583">
        <v>0</v>
      </c>
      <c r="Z583">
        <v>2017</v>
      </c>
    </row>
    <row r="584" spans="1:28" x14ac:dyDescent="0.25">
      <c r="A584" t="s">
        <v>2795</v>
      </c>
      <c r="B584" t="s">
        <v>2796</v>
      </c>
      <c r="C584" t="s">
        <v>2794</v>
      </c>
      <c r="D584" t="s">
        <v>375</v>
      </c>
      <c r="E584" t="s">
        <v>348</v>
      </c>
      <c r="F584" t="s">
        <v>348</v>
      </c>
      <c r="G584" t="s">
        <v>925</v>
      </c>
      <c r="H584" t="s">
        <v>926</v>
      </c>
      <c r="I584" t="s">
        <v>360</v>
      </c>
      <c r="J584" t="s">
        <v>361</v>
      </c>
      <c r="K584">
        <v>716</v>
      </c>
      <c r="L584">
        <v>22.2</v>
      </c>
      <c r="M584" t="s">
        <v>1003</v>
      </c>
      <c r="N584">
        <v>27.664999999999999</v>
      </c>
      <c r="O584">
        <v>-98.200699999999998</v>
      </c>
      <c r="P584">
        <v>82</v>
      </c>
      <c r="Q584">
        <v>0</v>
      </c>
      <c r="Z584">
        <v>2016</v>
      </c>
    </row>
    <row r="585" spans="1:28" x14ac:dyDescent="0.25">
      <c r="A585" t="s">
        <v>2797</v>
      </c>
      <c r="B585" t="s">
        <v>2798</v>
      </c>
      <c r="C585" t="s">
        <v>2783</v>
      </c>
      <c r="D585" t="s">
        <v>375</v>
      </c>
      <c r="E585" t="s">
        <v>348</v>
      </c>
      <c r="F585" t="s">
        <v>348</v>
      </c>
      <c r="G585" t="s">
        <v>428</v>
      </c>
      <c r="H585" t="s">
        <v>429</v>
      </c>
      <c r="I585" t="s">
        <v>360</v>
      </c>
      <c r="J585" t="s">
        <v>361</v>
      </c>
      <c r="K585">
        <v>1143</v>
      </c>
      <c r="L585">
        <v>20.6</v>
      </c>
      <c r="M585" t="s">
        <v>1003</v>
      </c>
      <c r="N585">
        <v>29.165900000000001</v>
      </c>
      <c r="O585">
        <v>-95.828999999999994</v>
      </c>
      <c r="P585">
        <v>16</v>
      </c>
      <c r="Q585">
        <v>0</v>
      </c>
      <c r="Z585">
        <v>2019</v>
      </c>
    </row>
    <row r="586" spans="1:28" x14ac:dyDescent="0.25">
      <c r="A586" t="s">
        <v>2799</v>
      </c>
      <c r="B586" t="s">
        <v>2800</v>
      </c>
      <c r="C586" t="s">
        <v>2783</v>
      </c>
      <c r="D586" t="s">
        <v>375</v>
      </c>
      <c r="E586" t="s">
        <v>348</v>
      </c>
      <c r="F586" t="s">
        <v>348</v>
      </c>
      <c r="G586" t="s">
        <v>376</v>
      </c>
      <c r="H586" t="s">
        <v>377</v>
      </c>
      <c r="I586" t="s">
        <v>360</v>
      </c>
      <c r="J586" t="s">
        <v>361</v>
      </c>
      <c r="K586">
        <v>1245</v>
      </c>
      <c r="L586">
        <v>21.15</v>
      </c>
      <c r="M586" t="s">
        <v>1003</v>
      </c>
      <c r="N586">
        <v>28.7805</v>
      </c>
      <c r="O586">
        <v>-95.614400000000003</v>
      </c>
      <c r="P586">
        <v>0</v>
      </c>
      <c r="Q586">
        <v>0</v>
      </c>
      <c r="Z586">
        <v>2017</v>
      </c>
    </row>
    <row r="587" spans="1:28" x14ac:dyDescent="0.25">
      <c r="A587" t="s">
        <v>2801</v>
      </c>
      <c r="B587" t="s">
        <v>2802</v>
      </c>
      <c r="C587" t="s">
        <v>1338</v>
      </c>
      <c r="D587" t="s">
        <v>346</v>
      </c>
      <c r="E587" t="s">
        <v>347</v>
      </c>
      <c r="F587" t="s">
        <v>348</v>
      </c>
      <c r="G587" t="s">
        <v>513</v>
      </c>
      <c r="H587" t="s">
        <v>514</v>
      </c>
      <c r="I587" t="s">
        <v>1581</v>
      </c>
      <c r="J587" t="s">
        <v>1582</v>
      </c>
      <c r="K587">
        <v>263</v>
      </c>
      <c r="L587">
        <v>-2.9</v>
      </c>
      <c r="M587" t="s">
        <v>1003</v>
      </c>
      <c r="N587">
        <v>64.866299999999995</v>
      </c>
      <c r="O587">
        <v>-147.85550000000001</v>
      </c>
      <c r="P587">
        <v>155</v>
      </c>
      <c r="Q587">
        <v>21</v>
      </c>
      <c r="R587">
        <v>2003</v>
      </c>
      <c r="S587">
        <v>2023</v>
      </c>
      <c r="T587" t="s">
        <v>1101</v>
      </c>
      <c r="U587" t="s">
        <v>2803</v>
      </c>
      <c r="Z587">
        <v>2002</v>
      </c>
      <c r="AB587" t="s">
        <v>2804</v>
      </c>
    </row>
    <row r="588" spans="1:28" x14ac:dyDescent="0.25">
      <c r="A588" t="s">
        <v>2805</v>
      </c>
      <c r="B588" t="s">
        <v>2806</v>
      </c>
      <c r="C588" t="s">
        <v>1759</v>
      </c>
      <c r="D588" t="s">
        <v>346</v>
      </c>
      <c r="E588" t="s">
        <v>347</v>
      </c>
      <c r="F588" t="s">
        <v>347</v>
      </c>
      <c r="G588" t="s">
        <v>446</v>
      </c>
      <c r="H588" t="s">
        <v>447</v>
      </c>
      <c r="I588" t="s">
        <v>481</v>
      </c>
      <c r="J588" t="s">
        <v>482</v>
      </c>
      <c r="K588">
        <v>1006.35</v>
      </c>
      <c r="L588">
        <v>10.1</v>
      </c>
      <c r="M588" t="s">
        <v>1003</v>
      </c>
      <c r="N588">
        <v>40.753599999999999</v>
      </c>
      <c r="O588">
        <v>-78.005600000000001</v>
      </c>
      <c r="P588">
        <v>390</v>
      </c>
      <c r="Q588">
        <v>5</v>
      </c>
      <c r="R588">
        <v>2019</v>
      </c>
      <c r="S588">
        <v>2023</v>
      </c>
      <c r="T588" t="s">
        <v>1291</v>
      </c>
      <c r="U588" t="s">
        <v>2807</v>
      </c>
      <c r="V588">
        <v>2019</v>
      </c>
      <c r="W588">
        <v>2023</v>
      </c>
      <c r="X588" t="s">
        <v>1291</v>
      </c>
      <c r="Y588" t="s">
        <v>2808</v>
      </c>
      <c r="Z588">
        <v>2019</v>
      </c>
      <c r="AB588" t="s">
        <v>1762</v>
      </c>
    </row>
    <row r="589" spans="1:28" x14ac:dyDescent="0.25">
      <c r="A589" t="s">
        <v>2809</v>
      </c>
      <c r="B589" t="s">
        <v>2810</v>
      </c>
      <c r="C589" t="s">
        <v>1759</v>
      </c>
      <c r="D589" t="s">
        <v>346</v>
      </c>
      <c r="E589" t="s">
        <v>347</v>
      </c>
      <c r="F589" t="s">
        <v>347</v>
      </c>
      <c r="G589" t="s">
        <v>446</v>
      </c>
      <c r="H589" t="s">
        <v>447</v>
      </c>
      <c r="I589" t="s">
        <v>481</v>
      </c>
      <c r="J589" t="s">
        <v>482</v>
      </c>
      <c r="K589">
        <v>1006.35</v>
      </c>
      <c r="L589">
        <v>10.1</v>
      </c>
      <c r="M589" t="s">
        <v>1003</v>
      </c>
      <c r="N589">
        <v>40.755899999999997</v>
      </c>
      <c r="O589">
        <v>-77.999799999999993</v>
      </c>
      <c r="P589">
        <v>396</v>
      </c>
      <c r="Q589">
        <v>5</v>
      </c>
      <c r="R589">
        <v>2019</v>
      </c>
      <c r="S589">
        <v>2023</v>
      </c>
      <c r="T589" t="s">
        <v>1291</v>
      </c>
      <c r="U589" t="s">
        <v>2811</v>
      </c>
      <c r="V589">
        <v>2019</v>
      </c>
      <c r="W589">
        <v>2023</v>
      </c>
      <c r="X589" t="s">
        <v>1291</v>
      </c>
      <c r="Y589" t="s">
        <v>2812</v>
      </c>
      <c r="Z589">
        <v>2019</v>
      </c>
      <c r="AB589" t="s">
        <v>1762</v>
      </c>
    </row>
    <row r="590" spans="1:28" x14ac:dyDescent="0.25">
      <c r="A590" t="s">
        <v>2813</v>
      </c>
      <c r="B590" t="s">
        <v>2814</v>
      </c>
      <c r="C590" t="s">
        <v>2815</v>
      </c>
      <c r="D590" t="s">
        <v>346</v>
      </c>
      <c r="E590" t="s">
        <v>348</v>
      </c>
      <c r="F590" t="s">
        <v>348</v>
      </c>
      <c r="G590" t="s">
        <v>581</v>
      </c>
      <c r="H590" t="s">
        <v>582</v>
      </c>
      <c r="I590" t="s">
        <v>1197</v>
      </c>
      <c r="J590" t="s">
        <v>1198</v>
      </c>
      <c r="K590">
        <v>750</v>
      </c>
      <c r="L590">
        <v>8</v>
      </c>
      <c r="M590" t="s">
        <v>1003</v>
      </c>
      <c r="N590">
        <v>38.923000000000002</v>
      </c>
      <c r="O590">
        <v>-106.9524</v>
      </c>
      <c r="P590">
        <v>2755</v>
      </c>
      <c r="Q590">
        <v>0</v>
      </c>
      <c r="Z590">
        <v>2017</v>
      </c>
    </row>
    <row r="591" spans="1:28" x14ac:dyDescent="0.25">
      <c r="A591" t="s">
        <v>2816</v>
      </c>
      <c r="B591" t="s">
        <v>2817</v>
      </c>
      <c r="C591" t="s">
        <v>2818</v>
      </c>
      <c r="D591" t="s">
        <v>346</v>
      </c>
      <c r="E591" t="s">
        <v>347</v>
      </c>
      <c r="F591" t="s">
        <v>348</v>
      </c>
      <c r="G591" t="s">
        <v>349</v>
      </c>
      <c r="H591" t="s">
        <v>350</v>
      </c>
      <c r="I591" t="s">
        <v>1175</v>
      </c>
      <c r="J591" t="s">
        <v>1176</v>
      </c>
      <c r="K591">
        <v>1051</v>
      </c>
      <c r="L591">
        <v>10.9</v>
      </c>
      <c r="M591" t="s">
        <v>1003</v>
      </c>
      <c r="N591">
        <v>40.064599999999999</v>
      </c>
      <c r="O591">
        <v>-88.196100000000001</v>
      </c>
      <c r="P591">
        <v>224</v>
      </c>
      <c r="Q591">
        <v>9</v>
      </c>
      <c r="R591">
        <v>2008</v>
      </c>
      <c r="S591">
        <v>2016</v>
      </c>
      <c r="T591" t="s">
        <v>1445</v>
      </c>
      <c r="U591" t="s">
        <v>2819</v>
      </c>
      <c r="Z591">
        <v>2008</v>
      </c>
      <c r="AA591">
        <v>2016</v>
      </c>
      <c r="AB591" t="s">
        <v>2820</v>
      </c>
    </row>
    <row r="592" spans="1:28" x14ac:dyDescent="0.25">
      <c r="A592" t="s">
        <v>2821</v>
      </c>
      <c r="B592" t="s">
        <v>2822</v>
      </c>
      <c r="C592" t="s">
        <v>2818</v>
      </c>
      <c r="D592" t="s">
        <v>346</v>
      </c>
      <c r="E592" t="s">
        <v>347</v>
      </c>
      <c r="F592" t="s">
        <v>348</v>
      </c>
      <c r="G592" t="s">
        <v>349</v>
      </c>
      <c r="H592" t="s">
        <v>350</v>
      </c>
      <c r="I592" t="s">
        <v>1175</v>
      </c>
      <c r="J592" t="s">
        <v>1176</v>
      </c>
      <c r="K592">
        <v>1051</v>
      </c>
      <c r="L592">
        <v>10.9</v>
      </c>
      <c r="M592" t="s">
        <v>1003</v>
      </c>
      <c r="N592">
        <v>40.062800000000003</v>
      </c>
      <c r="O592">
        <v>-88.198400000000007</v>
      </c>
      <c r="P592">
        <v>224</v>
      </c>
      <c r="Q592">
        <v>14</v>
      </c>
      <c r="R592">
        <v>2008</v>
      </c>
      <c r="S592">
        <v>2021</v>
      </c>
      <c r="T592" t="s">
        <v>2823</v>
      </c>
      <c r="U592" t="s">
        <v>2824</v>
      </c>
      <c r="Z592">
        <v>2008</v>
      </c>
      <c r="AB592" t="s">
        <v>2820</v>
      </c>
    </row>
    <row r="593" spans="1:28" x14ac:dyDescent="0.25">
      <c r="A593" t="s">
        <v>2825</v>
      </c>
      <c r="B593" t="s">
        <v>2826</v>
      </c>
      <c r="C593" t="s">
        <v>2818</v>
      </c>
      <c r="D593" t="s">
        <v>346</v>
      </c>
      <c r="E593" t="s">
        <v>347</v>
      </c>
      <c r="F593" t="s">
        <v>348</v>
      </c>
      <c r="G593" t="s">
        <v>349</v>
      </c>
      <c r="H593" t="s">
        <v>350</v>
      </c>
      <c r="I593" t="s">
        <v>1175</v>
      </c>
      <c r="J593" t="s">
        <v>1176</v>
      </c>
      <c r="K593">
        <v>1051</v>
      </c>
      <c r="L593">
        <v>10.9</v>
      </c>
      <c r="M593" t="s">
        <v>1003</v>
      </c>
      <c r="N593">
        <v>40.062800000000003</v>
      </c>
      <c r="O593">
        <v>-88.196100000000001</v>
      </c>
      <c r="P593">
        <v>224</v>
      </c>
      <c r="Q593">
        <v>9</v>
      </c>
      <c r="R593">
        <v>2008</v>
      </c>
      <c r="S593">
        <v>2016</v>
      </c>
      <c r="T593" t="s">
        <v>1445</v>
      </c>
      <c r="U593" t="s">
        <v>2827</v>
      </c>
      <c r="Z593">
        <v>2008</v>
      </c>
      <c r="AB593" t="s">
        <v>2820</v>
      </c>
    </row>
    <row r="594" spans="1:28" x14ac:dyDescent="0.25">
      <c r="A594" t="s">
        <v>2828</v>
      </c>
      <c r="B594" t="s">
        <v>2829</v>
      </c>
      <c r="C594" t="s">
        <v>2818</v>
      </c>
      <c r="D594" t="s">
        <v>346</v>
      </c>
      <c r="E594" t="s">
        <v>347</v>
      </c>
      <c r="F594" t="s">
        <v>348</v>
      </c>
      <c r="G594" t="s">
        <v>367</v>
      </c>
      <c r="H594" t="s">
        <v>368</v>
      </c>
      <c r="K594">
        <v>1051</v>
      </c>
      <c r="L594">
        <v>10.9</v>
      </c>
      <c r="M594" t="s">
        <v>1003</v>
      </c>
      <c r="N594">
        <v>40.064599999999999</v>
      </c>
      <c r="O594">
        <v>-88.198499999999996</v>
      </c>
      <c r="P594">
        <v>224</v>
      </c>
      <c r="Q594">
        <v>9</v>
      </c>
      <c r="R594">
        <v>2008</v>
      </c>
      <c r="S594">
        <v>2016</v>
      </c>
      <c r="T594" t="s">
        <v>1445</v>
      </c>
      <c r="U594" t="s">
        <v>2830</v>
      </c>
      <c r="Z594">
        <v>2008</v>
      </c>
      <c r="AA594">
        <v>2016</v>
      </c>
      <c r="AB594" t="s">
        <v>2820</v>
      </c>
    </row>
    <row r="595" spans="1:28" x14ac:dyDescent="0.25">
      <c r="A595" t="s">
        <v>2831</v>
      </c>
      <c r="B595" t="s">
        <v>2832</v>
      </c>
      <c r="C595" t="s">
        <v>1789</v>
      </c>
      <c r="D595" t="s">
        <v>346</v>
      </c>
      <c r="E595" t="s">
        <v>348</v>
      </c>
      <c r="F595" t="s">
        <v>348</v>
      </c>
      <c r="G595" t="s">
        <v>349</v>
      </c>
      <c r="H595" t="s">
        <v>350</v>
      </c>
      <c r="I595" t="s">
        <v>1175</v>
      </c>
      <c r="J595" t="s">
        <v>1176</v>
      </c>
      <c r="K595">
        <v>1021</v>
      </c>
      <c r="L595">
        <v>11.2</v>
      </c>
      <c r="M595" t="s">
        <v>1003</v>
      </c>
      <c r="N595">
        <v>40.062899999999999</v>
      </c>
      <c r="O595">
        <v>-88.203299999999999</v>
      </c>
      <c r="P595">
        <v>217</v>
      </c>
      <c r="Q595">
        <v>0</v>
      </c>
      <c r="Z595">
        <v>2018</v>
      </c>
    </row>
    <row r="596" spans="1:28" x14ac:dyDescent="0.25">
      <c r="A596" t="s">
        <v>2833</v>
      </c>
      <c r="B596" t="s">
        <v>2834</v>
      </c>
      <c r="C596" t="s">
        <v>1789</v>
      </c>
      <c r="D596" t="s">
        <v>346</v>
      </c>
      <c r="E596" t="s">
        <v>348</v>
      </c>
      <c r="F596" t="s">
        <v>348</v>
      </c>
      <c r="G596" t="s">
        <v>349</v>
      </c>
      <c r="H596" t="s">
        <v>350</v>
      </c>
      <c r="I596" t="s">
        <v>1175</v>
      </c>
      <c r="J596" t="s">
        <v>1176</v>
      </c>
      <c r="K596">
        <v>1021</v>
      </c>
      <c r="L596">
        <v>11.2</v>
      </c>
      <c r="M596" t="s">
        <v>1003</v>
      </c>
      <c r="N596">
        <v>40.066499999999998</v>
      </c>
      <c r="O596">
        <v>-88.201499999999996</v>
      </c>
      <c r="P596">
        <v>220</v>
      </c>
      <c r="Q596">
        <v>0</v>
      </c>
      <c r="Z596">
        <v>2017</v>
      </c>
    </row>
    <row r="597" spans="1:28" x14ac:dyDescent="0.25">
      <c r="A597" t="s">
        <v>2835</v>
      </c>
      <c r="B597" t="s">
        <v>2836</v>
      </c>
      <c r="C597" t="s">
        <v>1789</v>
      </c>
      <c r="D597" t="s">
        <v>346</v>
      </c>
      <c r="E597" t="s">
        <v>348</v>
      </c>
      <c r="F597" t="s">
        <v>348</v>
      </c>
      <c r="G597" t="s">
        <v>349</v>
      </c>
      <c r="H597" t="s">
        <v>350</v>
      </c>
      <c r="I597" t="s">
        <v>1175</v>
      </c>
      <c r="J597" t="s">
        <v>1176</v>
      </c>
      <c r="K597">
        <v>1021</v>
      </c>
      <c r="L597">
        <v>11.2</v>
      </c>
      <c r="M597" t="s">
        <v>1003</v>
      </c>
      <c r="N597">
        <v>40.062899999999999</v>
      </c>
      <c r="O597">
        <v>-88.200900000000004</v>
      </c>
      <c r="P597">
        <v>220</v>
      </c>
      <c r="Q597">
        <v>0</v>
      </c>
      <c r="Z597">
        <v>2017</v>
      </c>
    </row>
    <row r="598" spans="1:28" x14ac:dyDescent="0.25">
      <c r="A598" t="s">
        <v>2837</v>
      </c>
      <c r="B598" t="s">
        <v>2838</v>
      </c>
      <c r="C598" t="s">
        <v>2839</v>
      </c>
      <c r="D598" t="s">
        <v>375</v>
      </c>
      <c r="E598" t="s">
        <v>348</v>
      </c>
      <c r="F598" t="s">
        <v>348</v>
      </c>
      <c r="G598" t="s">
        <v>428</v>
      </c>
      <c r="H598" t="s">
        <v>429</v>
      </c>
      <c r="I598" t="s">
        <v>360</v>
      </c>
      <c r="J598" t="s">
        <v>361</v>
      </c>
      <c r="K598">
        <v>1356.36</v>
      </c>
      <c r="L598">
        <v>18.77</v>
      </c>
      <c r="M598" t="s">
        <v>1003</v>
      </c>
      <c r="N598">
        <v>32.457000000000001</v>
      </c>
      <c r="O598">
        <v>-91.974299999999999</v>
      </c>
      <c r="P598">
        <v>20</v>
      </c>
      <c r="Q598">
        <v>0</v>
      </c>
      <c r="Z598">
        <v>2013</v>
      </c>
    </row>
    <row r="599" spans="1:28" x14ac:dyDescent="0.25">
      <c r="A599" t="s">
        <v>2840</v>
      </c>
      <c r="B599" t="s">
        <v>2841</v>
      </c>
      <c r="C599" t="s">
        <v>2298</v>
      </c>
      <c r="D599" t="s">
        <v>346</v>
      </c>
      <c r="E599" t="s">
        <v>347</v>
      </c>
      <c r="F599" t="s">
        <v>347</v>
      </c>
      <c r="G599" t="s">
        <v>918</v>
      </c>
      <c r="H599" t="s">
        <v>919</v>
      </c>
      <c r="I599" t="s">
        <v>481</v>
      </c>
      <c r="J599" t="s">
        <v>482</v>
      </c>
      <c r="K599">
        <v>803</v>
      </c>
      <c r="L599">
        <v>5.83</v>
      </c>
      <c r="M599" t="s">
        <v>1003</v>
      </c>
      <c r="N599">
        <v>45.568600000000004</v>
      </c>
      <c r="O599">
        <v>-84.670699999999997</v>
      </c>
      <c r="P599">
        <v>234</v>
      </c>
      <c r="Q599">
        <v>2</v>
      </c>
      <c r="R599">
        <v>2013</v>
      </c>
      <c r="S599">
        <v>2014</v>
      </c>
      <c r="T599" t="s">
        <v>2099</v>
      </c>
      <c r="U599" t="s">
        <v>2842</v>
      </c>
      <c r="V599">
        <v>2013</v>
      </c>
      <c r="W599">
        <v>2014</v>
      </c>
      <c r="X599" t="s">
        <v>2099</v>
      </c>
      <c r="Y599" t="s">
        <v>2843</v>
      </c>
      <c r="Z599">
        <v>2013</v>
      </c>
      <c r="AA599">
        <v>2014</v>
      </c>
      <c r="AB599" t="s">
        <v>2844</v>
      </c>
    </row>
    <row r="600" spans="1:28" x14ac:dyDescent="0.25">
      <c r="A600" t="s">
        <v>89</v>
      </c>
      <c r="B600" t="s">
        <v>2845</v>
      </c>
      <c r="C600" t="s">
        <v>2298</v>
      </c>
      <c r="D600" t="s">
        <v>346</v>
      </c>
      <c r="E600" t="s">
        <v>347</v>
      </c>
      <c r="F600" t="s">
        <v>347</v>
      </c>
      <c r="G600" t="s">
        <v>428</v>
      </c>
      <c r="H600" t="s">
        <v>429</v>
      </c>
      <c r="I600" t="s">
        <v>481</v>
      </c>
      <c r="J600" t="s">
        <v>482</v>
      </c>
      <c r="K600">
        <v>803</v>
      </c>
      <c r="L600">
        <v>5.83</v>
      </c>
      <c r="M600" t="s">
        <v>1003</v>
      </c>
      <c r="N600">
        <v>45.559800000000003</v>
      </c>
      <c r="O600">
        <v>-84.713800000000006</v>
      </c>
      <c r="P600">
        <v>234</v>
      </c>
      <c r="Q600">
        <v>25</v>
      </c>
      <c r="R600">
        <v>2000</v>
      </c>
      <c r="S600">
        <v>2024</v>
      </c>
      <c r="T600" t="s">
        <v>1985</v>
      </c>
      <c r="U600" t="s">
        <v>2846</v>
      </c>
      <c r="V600">
        <v>2007</v>
      </c>
      <c r="W600">
        <v>2021</v>
      </c>
      <c r="X600" t="s">
        <v>2577</v>
      </c>
      <c r="Y600" t="s">
        <v>2847</v>
      </c>
      <c r="Z600">
        <v>1999</v>
      </c>
      <c r="AB600" t="s">
        <v>2057</v>
      </c>
    </row>
    <row r="601" spans="1:28" x14ac:dyDescent="0.25">
      <c r="A601" t="s">
        <v>90</v>
      </c>
      <c r="B601" t="s">
        <v>2848</v>
      </c>
      <c r="C601" t="s">
        <v>2298</v>
      </c>
      <c r="D601" t="s">
        <v>346</v>
      </c>
      <c r="E601" t="s">
        <v>347</v>
      </c>
      <c r="F601" t="s">
        <v>347</v>
      </c>
      <c r="G601" t="s">
        <v>428</v>
      </c>
      <c r="H601" t="s">
        <v>429</v>
      </c>
      <c r="I601" t="s">
        <v>481</v>
      </c>
      <c r="J601" t="s">
        <v>482</v>
      </c>
      <c r="K601">
        <v>803</v>
      </c>
      <c r="L601">
        <v>5.83</v>
      </c>
      <c r="M601" t="s">
        <v>1003</v>
      </c>
      <c r="N601">
        <v>45.5625</v>
      </c>
      <c r="O601">
        <v>-84.697500000000005</v>
      </c>
      <c r="P601">
        <v>239</v>
      </c>
      <c r="Q601">
        <v>18</v>
      </c>
      <c r="R601">
        <v>2007</v>
      </c>
      <c r="S601">
        <v>2024</v>
      </c>
      <c r="T601" t="s">
        <v>1774</v>
      </c>
      <c r="U601" t="s">
        <v>2849</v>
      </c>
      <c r="V601">
        <v>2007</v>
      </c>
      <c r="W601">
        <v>2023</v>
      </c>
      <c r="X601" t="s">
        <v>1776</v>
      </c>
      <c r="Y601" t="s">
        <v>2850</v>
      </c>
      <c r="Z601">
        <v>2007</v>
      </c>
      <c r="AB601" t="s">
        <v>2851</v>
      </c>
    </row>
    <row r="602" spans="1:28" x14ac:dyDescent="0.25">
      <c r="A602" t="s">
        <v>2852</v>
      </c>
      <c r="B602" t="s">
        <v>2853</v>
      </c>
      <c r="C602" t="s">
        <v>1119</v>
      </c>
      <c r="D602" t="s">
        <v>375</v>
      </c>
      <c r="E602" t="s">
        <v>347</v>
      </c>
      <c r="F602" t="s">
        <v>348</v>
      </c>
      <c r="G602" t="s">
        <v>376</v>
      </c>
      <c r="H602" t="s">
        <v>377</v>
      </c>
      <c r="I602" t="s">
        <v>1197</v>
      </c>
      <c r="J602" t="s">
        <v>1198</v>
      </c>
      <c r="K602">
        <v>123.68</v>
      </c>
      <c r="L602">
        <v>-13.57</v>
      </c>
      <c r="M602" t="s">
        <v>1003</v>
      </c>
      <c r="N602">
        <v>70.281499999999994</v>
      </c>
      <c r="O602">
        <v>-148.88480000000001</v>
      </c>
      <c r="P602">
        <v>5</v>
      </c>
      <c r="Q602">
        <v>1</v>
      </c>
      <c r="R602">
        <v>1994</v>
      </c>
      <c r="S602">
        <v>1994</v>
      </c>
      <c r="T602">
        <v>1994</v>
      </c>
      <c r="U602" t="s">
        <v>2854</v>
      </c>
      <c r="Z602">
        <v>1993</v>
      </c>
      <c r="AA602">
        <v>1994</v>
      </c>
      <c r="AB602" t="s">
        <v>2855</v>
      </c>
    </row>
    <row r="603" spans="1:28" x14ac:dyDescent="0.25">
      <c r="A603" t="s">
        <v>2856</v>
      </c>
      <c r="B603" t="s">
        <v>2857</v>
      </c>
      <c r="C603" t="s">
        <v>2858</v>
      </c>
      <c r="D603" t="s">
        <v>346</v>
      </c>
      <c r="E603" t="s">
        <v>347</v>
      </c>
      <c r="F603" t="s">
        <v>347</v>
      </c>
      <c r="G603" t="s">
        <v>761</v>
      </c>
      <c r="H603" t="s">
        <v>762</v>
      </c>
      <c r="I603" t="s">
        <v>935</v>
      </c>
      <c r="J603" t="s">
        <v>936</v>
      </c>
      <c r="K603">
        <v>138.59</v>
      </c>
      <c r="L603">
        <v>10.6</v>
      </c>
      <c r="M603" t="s">
        <v>1003</v>
      </c>
      <c r="N603">
        <v>40.784799999999997</v>
      </c>
      <c r="O603">
        <v>-113.82989999999999</v>
      </c>
      <c r="P603">
        <v>1287</v>
      </c>
      <c r="Q603">
        <v>4</v>
      </c>
      <c r="R603">
        <v>2021</v>
      </c>
      <c r="S603">
        <v>2024</v>
      </c>
      <c r="T603" t="s">
        <v>1495</v>
      </c>
      <c r="U603" t="s">
        <v>2859</v>
      </c>
      <c r="V603">
        <v>2021</v>
      </c>
      <c r="W603">
        <v>2023</v>
      </c>
      <c r="X603" t="s">
        <v>592</v>
      </c>
      <c r="Y603" t="s">
        <v>2860</v>
      </c>
      <c r="Z603">
        <v>2021</v>
      </c>
      <c r="AB603" t="s">
        <v>2861</v>
      </c>
    </row>
    <row r="604" spans="1:28" x14ac:dyDescent="0.25">
      <c r="A604" t="s">
        <v>2862</v>
      </c>
      <c r="B604" t="s">
        <v>2863</v>
      </c>
      <c r="C604" t="s">
        <v>2858</v>
      </c>
      <c r="D604" t="s">
        <v>346</v>
      </c>
      <c r="E604" t="s">
        <v>348</v>
      </c>
      <c r="F604" t="s">
        <v>348</v>
      </c>
      <c r="G604" t="s">
        <v>349</v>
      </c>
      <c r="H604" t="s">
        <v>350</v>
      </c>
      <c r="I604" t="s">
        <v>935</v>
      </c>
      <c r="J604" t="s">
        <v>936</v>
      </c>
      <c r="K604">
        <v>215.65</v>
      </c>
      <c r="L604">
        <v>12</v>
      </c>
      <c r="M604" t="s">
        <v>1003</v>
      </c>
      <c r="N604">
        <v>38.1038</v>
      </c>
      <c r="O604">
        <v>-109.59520000000001</v>
      </c>
      <c r="P604">
        <v>1580</v>
      </c>
      <c r="Q604">
        <v>0</v>
      </c>
      <c r="Z604">
        <v>2023</v>
      </c>
    </row>
    <row r="605" spans="1:28" x14ac:dyDescent="0.25">
      <c r="A605" t="s">
        <v>2864</v>
      </c>
      <c r="B605" t="s">
        <v>2865</v>
      </c>
      <c r="C605" t="s">
        <v>2858</v>
      </c>
      <c r="D605" t="s">
        <v>346</v>
      </c>
      <c r="E605" t="s">
        <v>348</v>
      </c>
      <c r="F605" t="s">
        <v>348</v>
      </c>
      <c r="G605" t="s">
        <v>349</v>
      </c>
      <c r="H605" t="s">
        <v>350</v>
      </c>
      <c r="I605" t="s">
        <v>913</v>
      </c>
      <c r="J605" t="s">
        <v>914</v>
      </c>
      <c r="K605">
        <v>258.31799999999998</v>
      </c>
      <c r="L605">
        <v>10.83</v>
      </c>
      <c r="M605" t="s">
        <v>1003</v>
      </c>
      <c r="N605">
        <v>37.735300000000002</v>
      </c>
      <c r="O605">
        <v>-111.57080000000001</v>
      </c>
      <c r="P605">
        <v>1729.3</v>
      </c>
      <c r="Q605">
        <v>0</v>
      </c>
      <c r="Z605">
        <v>2024</v>
      </c>
    </row>
    <row r="606" spans="1:28" x14ac:dyDescent="0.25">
      <c r="A606" t="s">
        <v>2866</v>
      </c>
      <c r="B606" t="s">
        <v>2867</v>
      </c>
      <c r="C606" t="s">
        <v>2858</v>
      </c>
      <c r="D606" t="s">
        <v>346</v>
      </c>
      <c r="E606" t="s">
        <v>348</v>
      </c>
      <c r="F606" t="s">
        <v>348</v>
      </c>
      <c r="G606" t="s">
        <v>349</v>
      </c>
      <c r="H606" t="s">
        <v>350</v>
      </c>
      <c r="I606" t="s">
        <v>913</v>
      </c>
      <c r="J606" t="s">
        <v>914</v>
      </c>
      <c r="K606">
        <v>196.85</v>
      </c>
      <c r="L606">
        <v>12.6</v>
      </c>
      <c r="M606" t="s">
        <v>1003</v>
      </c>
      <c r="N606">
        <v>37.281799999999997</v>
      </c>
      <c r="O606">
        <v>-109.5348</v>
      </c>
      <c r="P606">
        <v>1281</v>
      </c>
      <c r="Q606">
        <v>0</v>
      </c>
      <c r="Z606">
        <v>2024</v>
      </c>
    </row>
    <row r="607" spans="1:28" x14ac:dyDescent="0.25">
      <c r="A607" t="s">
        <v>2868</v>
      </c>
      <c r="B607" t="s">
        <v>2869</v>
      </c>
      <c r="C607" t="s">
        <v>2858</v>
      </c>
      <c r="D607" t="s">
        <v>346</v>
      </c>
      <c r="E607" t="s">
        <v>347</v>
      </c>
      <c r="F607" t="s">
        <v>348</v>
      </c>
      <c r="G607" t="s">
        <v>376</v>
      </c>
      <c r="H607" t="s">
        <v>377</v>
      </c>
      <c r="I607" t="s">
        <v>913</v>
      </c>
      <c r="J607" t="s">
        <v>914</v>
      </c>
      <c r="K607">
        <v>240.03</v>
      </c>
      <c r="L607">
        <v>13</v>
      </c>
      <c r="M607" t="s">
        <v>1003</v>
      </c>
      <c r="N607">
        <v>38.587899999999998</v>
      </c>
      <c r="O607">
        <v>-109.5775</v>
      </c>
      <c r="P607">
        <v>1207</v>
      </c>
      <c r="Q607">
        <v>3</v>
      </c>
      <c r="R607">
        <v>2022</v>
      </c>
      <c r="S607">
        <v>2024</v>
      </c>
      <c r="T607" t="s">
        <v>1540</v>
      </c>
      <c r="U607" t="s">
        <v>2870</v>
      </c>
      <c r="Z607">
        <v>2022</v>
      </c>
      <c r="AB607" t="s">
        <v>2871</v>
      </c>
    </row>
    <row r="608" spans="1:28" x14ac:dyDescent="0.25">
      <c r="A608" t="s">
        <v>2872</v>
      </c>
      <c r="B608" t="s">
        <v>2873</v>
      </c>
      <c r="C608" t="s">
        <v>2858</v>
      </c>
      <c r="D608" t="s">
        <v>346</v>
      </c>
      <c r="E608" t="s">
        <v>347</v>
      </c>
      <c r="F608" t="s">
        <v>348</v>
      </c>
      <c r="G608" t="s">
        <v>349</v>
      </c>
      <c r="H608" t="s">
        <v>350</v>
      </c>
      <c r="I608" t="s">
        <v>1175</v>
      </c>
      <c r="J608" t="s">
        <v>1176</v>
      </c>
      <c r="K608">
        <v>396</v>
      </c>
      <c r="L608">
        <v>10.199999999999999</v>
      </c>
      <c r="M608" t="s">
        <v>1003</v>
      </c>
      <c r="N608">
        <v>39.689599999999999</v>
      </c>
      <c r="O608">
        <v>-111.8814</v>
      </c>
      <c r="P608">
        <v>1529</v>
      </c>
      <c r="Q608">
        <v>1</v>
      </c>
      <c r="R608">
        <v>2023</v>
      </c>
      <c r="S608">
        <v>2023</v>
      </c>
      <c r="T608">
        <v>2023</v>
      </c>
      <c r="U608" t="s">
        <v>2874</v>
      </c>
      <c r="Z608">
        <v>2022</v>
      </c>
      <c r="AB608" t="s">
        <v>2875</v>
      </c>
    </row>
    <row r="609" spans="1:28" x14ac:dyDescent="0.25">
      <c r="A609" t="s">
        <v>2876</v>
      </c>
      <c r="B609" t="s">
        <v>2877</v>
      </c>
      <c r="C609" t="s">
        <v>2858</v>
      </c>
      <c r="D609" t="s">
        <v>346</v>
      </c>
      <c r="E609" t="s">
        <v>348</v>
      </c>
      <c r="F609" t="s">
        <v>348</v>
      </c>
      <c r="G609" t="s">
        <v>376</v>
      </c>
      <c r="H609" t="s">
        <v>377</v>
      </c>
      <c r="I609" t="s">
        <v>935</v>
      </c>
      <c r="J609" t="s">
        <v>936</v>
      </c>
      <c r="K609">
        <v>419</v>
      </c>
      <c r="L609">
        <v>11.2</v>
      </c>
      <c r="M609" t="s">
        <v>1003</v>
      </c>
      <c r="N609">
        <v>41.060400000000001</v>
      </c>
      <c r="O609">
        <v>-112.10129999999999</v>
      </c>
      <c r="P609">
        <v>1281</v>
      </c>
      <c r="Q609">
        <v>0</v>
      </c>
      <c r="Z609">
        <v>2024</v>
      </c>
    </row>
    <row r="610" spans="1:28" x14ac:dyDescent="0.25">
      <c r="A610" t="s">
        <v>2878</v>
      </c>
      <c r="B610" t="s">
        <v>2879</v>
      </c>
      <c r="C610" t="s">
        <v>2858</v>
      </c>
      <c r="D610" t="s">
        <v>346</v>
      </c>
      <c r="E610" t="s">
        <v>348</v>
      </c>
      <c r="F610" t="s">
        <v>348</v>
      </c>
      <c r="G610" t="s">
        <v>349</v>
      </c>
      <c r="H610" t="s">
        <v>350</v>
      </c>
      <c r="I610" t="s">
        <v>913</v>
      </c>
      <c r="J610" t="s">
        <v>914</v>
      </c>
      <c r="K610">
        <v>177</v>
      </c>
      <c r="L610">
        <v>16.7</v>
      </c>
      <c r="M610" t="s">
        <v>1003</v>
      </c>
      <c r="N610">
        <v>40.126600000000003</v>
      </c>
      <c r="O610">
        <v>-109.9546</v>
      </c>
      <c r="P610">
        <v>1539</v>
      </c>
      <c r="Q610">
        <v>0</v>
      </c>
      <c r="Z610">
        <v>2023</v>
      </c>
    </row>
    <row r="611" spans="1:28" x14ac:dyDescent="0.25">
      <c r="A611" t="s">
        <v>2880</v>
      </c>
      <c r="B611" t="s">
        <v>2881</v>
      </c>
      <c r="C611" t="s">
        <v>2858</v>
      </c>
      <c r="D611" t="s">
        <v>346</v>
      </c>
      <c r="E611" t="s">
        <v>347</v>
      </c>
      <c r="F611" t="s">
        <v>348</v>
      </c>
      <c r="G611" t="s">
        <v>349</v>
      </c>
      <c r="H611" t="s">
        <v>350</v>
      </c>
      <c r="I611" t="s">
        <v>1175</v>
      </c>
      <c r="J611" t="s">
        <v>1176</v>
      </c>
      <c r="K611">
        <v>225.22</v>
      </c>
      <c r="L611">
        <v>9.6</v>
      </c>
      <c r="M611" t="s">
        <v>1003</v>
      </c>
      <c r="N611">
        <v>39.445300000000003</v>
      </c>
      <c r="O611">
        <v>-110.72880000000001</v>
      </c>
      <c r="P611">
        <v>1682</v>
      </c>
      <c r="Q611">
        <v>4</v>
      </c>
      <c r="R611">
        <v>2021</v>
      </c>
      <c r="S611">
        <v>2024</v>
      </c>
      <c r="T611" t="s">
        <v>1495</v>
      </c>
      <c r="U611" t="s">
        <v>2882</v>
      </c>
      <c r="Z611">
        <v>2021</v>
      </c>
      <c r="AB611" t="s">
        <v>2883</v>
      </c>
    </row>
    <row r="612" spans="1:28" x14ac:dyDescent="0.25">
      <c r="A612" t="s">
        <v>2884</v>
      </c>
      <c r="B612" t="s">
        <v>2885</v>
      </c>
      <c r="C612" t="s">
        <v>2886</v>
      </c>
      <c r="D612" t="s">
        <v>346</v>
      </c>
      <c r="E612" t="s">
        <v>348</v>
      </c>
      <c r="F612" t="s">
        <v>348</v>
      </c>
      <c r="G612" t="s">
        <v>918</v>
      </c>
      <c r="H612" t="s">
        <v>919</v>
      </c>
      <c r="I612" t="s">
        <v>2887</v>
      </c>
      <c r="J612" t="s">
        <v>2888</v>
      </c>
      <c r="K612">
        <v>420</v>
      </c>
      <c r="L612">
        <v>11</v>
      </c>
      <c r="M612" t="s">
        <v>1003</v>
      </c>
      <c r="N612">
        <v>41.296100000000003</v>
      </c>
      <c r="O612">
        <v>-112.3074</v>
      </c>
      <c r="P612">
        <v>1300</v>
      </c>
      <c r="Q612">
        <v>0</v>
      </c>
      <c r="Z612">
        <v>2024</v>
      </c>
    </row>
    <row r="613" spans="1:28" x14ac:dyDescent="0.25">
      <c r="A613" t="s">
        <v>2889</v>
      </c>
      <c r="B613" t="s">
        <v>2890</v>
      </c>
      <c r="C613" t="s">
        <v>2886</v>
      </c>
      <c r="D613" t="s">
        <v>346</v>
      </c>
      <c r="E613" t="s">
        <v>348</v>
      </c>
      <c r="F613" t="s">
        <v>348</v>
      </c>
      <c r="G613" t="s">
        <v>761</v>
      </c>
      <c r="H613" t="s">
        <v>762</v>
      </c>
      <c r="I613" t="s">
        <v>1077</v>
      </c>
      <c r="J613" t="s">
        <v>1078</v>
      </c>
      <c r="K613">
        <v>420</v>
      </c>
      <c r="L613">
        <v>11</v>
      </c>
      <c r="M613" t="s">
        <v>1003</v>
      </c>
      <c r="N613">
        <v>41.030299999999997</v>
      </c>
      <c r="O613">
        <v>-112.11750000000001</v>
      </c>
      <c r="P613">
        <v>1278</v>
      </c>
      <c r="Q613">
        <v>0</v>
      </c>
    </row>
    <row r="614" spans="1:28" x14ac:dyDescent="0.25">
      <c r="A614" t="s">
        <v>91</v>
      </c>
      <c r="B614" t="s">
        <v>2891</v>
      </c>
      <c r="C614" t="s">
        <v>1160</v>
      </c>
      <c r="D614" t="s">
        <v>346</v>
      </c>
      <c r="E614" t="s">
        <v>347</v>
      </c>
      <c r="F614" t="s">
        <v>347</v>
      </c>
      <c r="G614" t="s">
        <v>367</v>
      </c>
      <c r="H614" t="s">
        <v>368</v>
      </c>
      <c r="I614" t="s">
        <v>632</v>
      </c>
      <c r="J614" t="s">
        <v>633</v>
      </c>
      <c r="K614">
        <v>559</v>
      </c>
      <c r="L614">
        <v>15.8</v>
      </c>
      <c r="M614" t="s">
        <v>1003</v>
      </c>
      <c r="N614">
        <v>38.4133</v>
      </c>
      <c r="O614">
        <v>-120.9508</v>
      </c>
      <c r="P614">
        <v>129</v>
      </c>
      <c r="Q614">
        <v>25</v>
      </c>
      <c r="R614">
        <v>2000</v>
      </c>
      <c r="S614">
        <v>2024</v>
      </c>
      <c r="T614" t="s">
        <v>1985</v>
      </c>
      <c r="U614" t="s">
        <v>2892</v>
      </c>
      <c r="V614">
        <v>2000</v>
      </c>
      <c r="W614">
        <v>2021</v>
      </c>
      <c r="X614" t="s">
        <v>1345</v>
      </c>
      <c r="Y614" t="s">
        <v>2893</v>
      </c>
      <c r="Z614">
        <v>2000</v>
      </c>
      <c r="AB614" t="s">
        <v>2894</v>
      </c>
    </row>
    <row r="615" spans="1:28" x14ac:dyDescent="0.25">
      <c r="A615" t="s">
        <v>92</v>
      </c>
      <c r="B615" t="s">
        <v>2895</v>
      </c>
      <c r="C615" t="s">
        <v>1607</v>
      </c>
      <c r="D615" t="s">
        <v>346</v>
      </c>
      <c r="E615" t="s">
        <v>347</v>
      </c>
      <c r="F615" t="s">
        <v>347</v>
      </c>
      <c r="G615" t="s">
        <v>513</v>
      </c>
      <c r="H615" t="s">
        <v>514</v>
      </c>
      <c r="I615" t="s">
        <v>481</v>
      </c>
      <c r="J615" t="s">
        <v>482</v>
      </c>
      <c r="K615">
        <v>646</v>
      </c>
      <c r="L615">
        <v>6.4</v>
      </c>
      <c r="M615" t="s">
        <v>1003</v>
      </c>
      <c r="N615">
        <v>35.888399999999997</v>
      </c>
      <c r="O615">
        <v>-106.5321</v>
      </c>
      <c r="P615">
        <v>3030</v>
      </c>
      <c r="Q615">
        <v>17</v>
      </c>
      <c r="R615">
        <v>2007</v>
      </c>
      <c r="S615">
        <v>2023</v>
      </c>
      <c r="T615" t="s">
        <v>1776</v>
      </c>
      <c r="U615" t="s">
        <v>2896</v>
      </c>
      <c r="V615">
        <v>2007</v>
      </c>
      <c r="W615">
        <v>2021</v>
      </c>
      <c r="X615" t="s">
        <v>2577</v>
      </c>
      <c r="Y615" t="s">
        <v>2897</v>
      </c>
      <c r="Z615">
        <v>2007</v>
      </c>
      <c r="AB615" t="s">
        <v>2146</v>
      </c>
    </row>
    <row r="616" spans="1:28" x14ac:dyDescent="0.25">
      <c r="A616" t="s">
        <v>93</v>
      </c>
      <c r="B616" t="s">
        <v>2898</v>
      </c>
      <c r="C616" t="s">
        <v>1607</v>
      </c>
      <c r="D616" t="s">
        <v>346</v>
      </c>
      <c r="E616" t="s">
        <v>347</v>
      </c>
      <c r="F616" t="s">
        <v>347</v>
      </c>
      <c r="G616" t="s">
        <v>513</v>
      </c>
      <c r="H616" t="s">
        <v>514</v>
      </c>
      <c r="I616" t="s">
        <v>481</v>
      </c>
      <c r="J616" t="s">
        <v>482</v>
      </c>
      <c r="K616">
        <v>550</v>
      </c>
      <c r="L616">
        <v>9.8000000000000007</v>
      </c>
      <c r="M616" t="s">
        <v>1003</v>
      </c>
      <c r="N616">
        <v>35.864199999999997</v>
      </c>
      <c r="O616">
        <v>-106.5967</v>
      </c>
      <c r="P616">
        <v>2500</v>
      </c>
      <c r="Q616">
        <v>18</v>
      </c>
      <c r="R616">
        <v>2007</v>
      </c>
      <c r="S616">
        <v>2024</v>
      </c>
      <c r="T616" t="s">
        <v>1774</v>
      </c>
      <c r="U616" t="s">
        <v>2899</v>
      </c>
      <c r="V616">
        <v>2007</v>
      </c>
      <c r="W616">
        <v>2023</v>
      </c>
      <c r="X616" t="s">
        <v>1776</v>
      </c>
      <c r="Y616" t="s">
        <v>2900</v>
      </c>
      <c r="Z616">
        <v>2007</v>
      </c>
      <c r="AB616" t="s">
        <v>2146</v>
      </c>
    </row>
    <row r="617" spans="1:28" x14ac:dyDescent="0.25">
      <c r="A617" t="s">
        <v>2901</v>
      </c>
      <c r="B617" t="s">
        <v>2902</v>
      </c>
      <c r="C617" t="s">
        <v>1607</v>
      </c>
      <c r="D617" t="s">
        <v>346</v>
      </c>
      <c r="E617" t="s">
        <v>347</v>
      </c>
      <c r="F617" t="s">
        <v>348</v>
      </c>
      <c r="G617" t="s">
        <v>513</v>
      </c>
      <c r="H617" t="s">
        <v>514</v>
      </c>
      <c r="I617" t="s">
        <v>481</v>
      </c>
      <c r="J617" t="s">
        <v>482</v>
      </c>
      <c r="K617">
        <v>550.92999999999995</v>
      </c>
      <c r="L617">
        <v>4.5999999999999996</v>
      </c>
      <c r="M617" t="s">
        <v>1003</v>
      </c>
      <c r="N617">
        <v>35.9193</v>
      </c>
      <c r="O617">
        <v>-106.6142</v>
      </c>
      <c r="P617">
        <v>2752</v>
      </c>
      <c r="Q617">
        <v>9</v>
      </c>
      <c r="R617">
        <v>2016</v>
      </c>
      <c r="S617">
        <v>2024</v>
      </c>
      <c r="T617" t="s">
        <v>1161</v>
      </c>
      <c r="U617" t="s">
        <v>2903</v>
      </c>
      <c r="Z617">
        <v>2016</v>
      </c>
      <c r="AB617" t="s">
        <v>2146</v>
      </c>
    </row>
    <row r="618" spans="1:28" x14ac:dyDescent="0.25">
      <c r="A618" t="s">
        <v>2904</v>
      </c>
      <c r="B618" t="s">
        <v>2905</v>
      </c>
      <c r="C618" t="s">
        <v>2906</v>
      </c>
      <c r="D618" t="s">
        <v>375</v>
      </c>
      <c r="E618" t="s">
        <v>348</v>
      </c>
      <c r="F618" t="s">
        <v>348</v>
      </c>
      <c r="G618" t="s">
        <v>376</v>
      </c>
      <c r="H618" t="s">
        <v>377</v>
      </c>
      <c r="I618" t="s">
        <v>360</v>
      </c>
      <c r="J618" t="s">
        <v>361</v>
      </c>
      <c r="K618">
        <v>1023.3</v>
      </c>
      <c r="L618">
        <v>14.05</v>
      </c>
      <c r="M618" t="s">
        <v>1003</v>
      </c>
      <c r="N618">
        <v>37.411099999999998</v>
      </c>
      <c r="O618">
        <v>-75.833299999999994</v>
      </c>
      <c r="P618">
        <v>1</v>
      </c>
      <c r="Q618">
        <v>0</v>
      </c>
      <c r="Z618">
        <v>2014</v>
      </c>
    </row>
    <row r="619" spans="1:28" x14ac:dyDescent="0.25">
      <c r="A619" t="s">
        <v>2907</v>
      </c>
      <c r="B619" t="s">
        <v>2908</v>
      </c>
      <c r="C619" t="s">
        <v>1124</v>
      </c>
      <c r="D619" t="s">
        <v>375</v>
      </c>
      <c r="E619" t="s">
        <v>347</v>
      </c>
      <c r="F619" t="s">
        <v>348</v>
      </c>
      <c r="G619" t="s">
        <v>428</v>
      </c>
      <c r="H619" t="s">
        <v>429</v>
      </c>
      <c r="I619" t="s">
        <v>360</v>
      </c>
      <c r="J619" t="s">
        <v>361</v>
      </c>
      <c r="K619">
        <v>1372.05</v>
      </c>
      <c r="L619">
        <v>13.71</v>
      </c>
      <c r="M619" t="s">
        <v>1003</v>
      </c>
      <c r="N619">
        <v>35.958799999999997</v>
      </c>
      <c r="O619">
        <v>-84.287400000000005</v>
      </c>
      <c r="P619">
        <v>283</v>
      </c>
      <c r="Q619">
        <v>13</v>
      </c>
      <c r="R619">
        <v>1995</v>
      </c>
      <c r="S619">
        <v>2007</v>
      </c>
      <c r="T619" t="s">
        <v>2909</v>
      </c>
      <c r="U619" t="s">
        <v>2910</v>
      </c>
      <c r="Z619">
        <v>1995</v>
      </c>
      <c r="AA619">
        <v>1999</v>
      </c>
      <c r="AB619" t="s">
        <v>720</v>
      </c>
    </row>
    <row r="620" spans="1:28" x14ac:dyDescent="0.25">
      <c r="A620" t="s">
        <v>2911</v>
      </c>
      <c r="B620" t="s">
        <v>2912</v>
      </c>
      <c r="C620" t="s">
        <v>1050</v>
      </c>
      <c r="D620" t="s">
        <v>346</v>
      </c>
      <c r="E620" t="s">
        <v>347</v>
      </c>
      <c r="F620" t="s">
        <v>348</v>
      </c>
      <c r="G620" t="s">
        <v>428</v>
      </c>
      <c r="H620" t="s">
        <v>429</v>
      </c>
      <c r="I620" t="s">
        <v>481</v>
      </c>
      <c r="J620" t="s">
        <v>482</v>
      </c>
      <c r="K620">
        <v>787</v>
      </c>
      <c r="L620">
        <v>4.0199999999999996</v>
      </c>
      <c r="M620" t="s">
        <v>1003</v>
      </c>
      <c r="N620">
        <v>45.805900000000001</v>
      </c>
      <c r="O620">
        <v>-90.079899999999995</v>
      </c>
      <c r="P620">
        <v>520</v>
      </c>
      <c r="Q620">
        <v>27</v>
      </c>
      <c r="R620">
        <v>1998</v>
      </c>
      <c r="S620">
        <v>2024</v>
      </c>
      <c r="T620" t="s">
        <v>2252</v>
      </c>
      <c r="U620" t="s">
        <v>2913</v>
      </c>
      <c r="Z620">
        <v>1999</v>
      </c>
      <c r="AB620" t="s">
        <v>2914</v>
      </c>
    </row>
    <row r="621" spans="1:28" x14ac:dyDescent="0.25">
      <c r="A621" t="s">
        <v>2915</v>
      </c>
      <c r="B621" t="s">
        <v>2916</v>
      </c>
      <c r="C621" t="s">
        <v>2687</v>
      </c>
      <c r="D621" t="s">
        <v>375</v>
      </c>
      <c r="E621" t="s">
        <v>347</v>
      </c>
      <c r="F621" t="s">
        <v>348</v>
      </c>
      <c r="G621" t="s">
        <v>581</v>
      </c>
      <c r="H621" t="s">
        <v>582</v>
      </c>
      <c r="I621" t="s">
        <v>415</v>
      </c>
      <c r="J621" t="s">
        <v>416</v>
      </c>
      <c r="L621">
        <v>3.3</v>
      </c>
      <c r="M621" t="s">
        <v>1003</v>
      </c>
      <c r="N621">
        <v>40.783799999999999</v>
      </c>
      <c r="O621">
        <v>-106.26179999999999</v>
      </c>
      <c r="P621">
        <v>2469</v>
      </c>
      <c r="Q621">
        <v>3</v>
      </c>
      <c r="R621">
        <v>2006</v>
      </c>
      <c r="S621">
        <v>2008</v>
      </c>
      <c r="T621" t="s">
        <v>2917</v>
      </c>
      <c r="U621" t="s">
        <v>2918</v>
      </c>
      <c r="Z621">
        <v>2006</v>
      </c>
      <c r="AA621">
        <v>2008</v>
      </c>
      <c r="AB621" t="s">
        <v>720</v>
      </c>
    </row>
    <row r="622" spans="1:28" x14ac:dyDescent="0.25">
      <c r="A622" t="s">
        <v>2919</v>
      </c>
      <c r="B622" t="s">
        <v>2920</v>
      </c>
      <c r="C622" t="s">
        <v>1869</v>
      </c>
      <c r="D622" t="s">
        <v>375</v>
      </c>
      <c r="E622" t="s">
        <v>348</v>
      </c>
      <c r="F622" t="s">
        <v>348</v>
      </c>
      <c r="G622" t="s">
        <v>933</v>
      </c>
      <c r="H622" t="s">
        <v>934</v>
      </c>
      <c r="I622" t="s">
        <v>481</v>
      </c>
      <c r="J622" t="s">
        <v>482</v>
      </c>
      <c r="K622">
        <v>1170</v>
      </c>
      <c r="L622">
        <v>8.9</v>
      </c>
      <c r="M622" t="s">
        <v>1003</v>
      </c>
      <c r="N622">
        <v>43.142099999999999</v>
      </c>
      <c r="O622">
        <v>-70.954300000000003</v>
      </c>
      <c r="P622">
        <v>27</v>
      </c>
      <c r="Q622">
        <v>0</v>
      </c>
      <c r="Z622">
        <v>2014</v>
      </c>
      <c r="AA622">
        <v>2017</v>
      </c>
    </row>
    <row r="623" spans="1:28" x14ac:dyDescent="0.25">
      <c r="A623" t="s">
        <v>2921</v>
      </c>
      <c r="B623" t="s">
        <v>2922</v>
      </c>
      <c r="C623" t="s">
        <v>2031</v>
      </c>
      <c r="D623" t="s">
        <v>375</v>
      </c>
      <c r="E623" t="s">
        <v>347</v>
      </c>
      <c r="F623" t="s">
        <v>348</v>
      </c>
      <c r="G623" t="s">
        <v>349</v>
      </c>
      <c r="H623" t="s">
        <v>350</v>
      </c>
      <c r="I623" t="s">
        <v>573</v>
      </c>
      <c r="J623" t="s">
        <v>574</v>
      </c>
      <c r="K623">
        <v>1194</v>
      </c>
      <c r="L623">
        <v>11.58</v>
      </c>
      <c r="M623" t="s">
        <v>1003</v>
      </c>
      <c r="N623">
        <v>45.112900000000003</v>
      </c>
      <c r="O623">
        <v>-122.65600000000001</v>
      </c>
      <c r="P623">
        <v>52</v>
      </c>
      <c r="Q623">
        <v>1</v>
      </c>
      <c r="R623">
        <v>2015</v>
      </c>
      <c r="S623">
        <v>2015</v>
      </c>
      <c r="T623">
        <v>2015</v>
      </c>
      <c r="U623" t="s">
        <v>2923</v>
      </c>
      <c r="Z623">
        <v>2015</v>
      </c>
      <c r="AA623">
        <v>2016</v>
      </c>
      <c r="AB623" t="s">
        <v>2924</v>
      </c>
    </row>
    <row r="624" spans="1:28" x14ac:dyDescent="0.25">
      <c r="A624" t="s">
        <v>94</v>
      </c>
      <c r="B624" t="s">
        <v>2925</v>
      </c>
      <c r="C624" t="s">
        <v>1344</v>
      </c>
      <c r="D624" t="s">
        <v>346</v>
      </c>
      <c r="E624" t="s">
        <v>347</v>
      </c>
      <c r="F624" t="s">
        <v>347</v>
      </c>
      <c r="G624" t="s">
        <v>581</v>
      </c>
      <c r="H624" t="s">
        <v>582</v>
      </c>
      <c r="I624" t="s">
        <v>913</v>
      </c>
      <c r="J624" t="s">
        <v>914</v>
      </c>
      <c r="K624">
        <v>320</v>
      </c>
      <c r="L624">
        <v>17.600000000000001</v>
      </c>
      <c r="M624" t="s">
        <v>1003</v>
      </c>
      <c r="N624">
        <v>31.7438</v>
      </c>
      <c r="O624">
        <v>-110.0522</v>
      </c>
      <c r="P624">
        <v>1370</v>
      </c>
      <c r="Q624">
        <v>18</v>
      </c>
      <c r="R624">
        <v>2007</v>
      </c>
      <c r="S624">
        <v>2024</v>
      </c>
      <c r="T624" t="s">
        <v>1774</v>
      </c>
      <c r="U624" t="s">
        <v>2926</v>
      </c>
      <c r="V624">
        <v>2007</v>
      </c>
      <c r="W624">
        <v>2020</v>
      </c>
      <c r="X624" t="s">
        <v>2927</v>
      </c>
      <c r="Y624" t="s">
        <v>2928</v>
      </c>
      <c r="Z624">
        <v>2007</v>
      </c>
      <c r="AB624" t="s">
        <v>2669</v>
      </c>
    </row>
    <row r="625" spans="1:28" x14ac:dyDescent="0.25">
      <c r="A625" t="s">
        <v>95</v>
      </c>
      <c r="B625" t="s">
        <v>2929</v>
      </c>
      <c r="C625" t="s">
        <v>1376</v>
      </c>
      <c r="D625" t="s">
        <v>346</v>
      </c>
      <c r="E625" t="s">
        <v>347</v>
      </c>
      <c r="F625" t="s">
        <v>347</v>
      </c>
      <c r="G625" t="s">
        <v>513</v>
      </c>
      <c r="H625" t="s">
        <v>514</v>
      </c>
      <c r="I625" t="s">
        <v>481</v>
      </c>
      <c r="J625" t="s">
        <v>482</v>
      </c>
      <c r="M625" t="s">
        <v>1003</v>
      </c>
      <c r="N625">
        <v>46.6188</v>
      </c>
      <c r="O625">
        <v>-91.081400000000002</v>
      </c>
      <c r="P625">
        <v>349</v>
      </c>
      <c r="Q625">
        <v>1</v>
      </c>
      <c r="R625">
        <v>2002</v>
      </c>
      <c r="S625">
        <v>2002</v>
      </c>
      <c r="T625">
        <v>2002</v>
      </c>
      <c r="U625" t="s">
        <v>2930</v>
      </c>
      <c r="V625">
        <v>2002</v>
      </c>
      <c r="W625">
        <v>2002</v>
      </c>
      <c r="X625">
        <v>2002</v>
      </c>
      <c r="Y625" t="s">
        <v>2931</v>
      </c>
      <c r="Z625">
        <v>2002</v>
      </c>
      <c r="AA625">
        <v>2002</v>
      </c>
      <c r="AB625" t="s">
        <v>2932</v>
      </c>
    </row>
    <row r="626" spans="1:28" x14ac:dyDescent="0.25">
      <c r="A626" t="s">
        <v>2933</v>
      </c>
      <c r="B626" t="s">
        <v>2934</v>
      </c>
      <c r="C626" t="s">
        <v>1376</v>
      </c>
      <c r="D626" t="s">
        <v>346</v>
      </c>
      <c r="E626" t="s">
        <v>347</v>
      </c>
      <c r="F626" t="s">
        <v>347</v>
      </c>
      <c r="G626" t="s">
        <v>428</v>
      </c>
      <c r="H626" t="s">
        <v>429</v>
      </c>
      <c r="I626" t="s">
        <v>481</v>
      </c>
      <c r="J626" t="s">
        <v>482</v>
      </c>
      <c r="M626" t="s">
        <v>1003</v>
      </c>
      <c r="N626">
        <v>46.730499999999999</v>
      </c>
      <c r="O626">
        <v>-91.232900000000001</v>
      </c>
      <c r="P626">
        <v>352</v>
      </c>
      <c r="Q626">
        <v>1</v>
      </c>
      <c r="R626">
        <v>2003</v>
      </c>
      <c r="S626">
        <v>2003</v>
      </c>
      <c r="T626">
        <v>2003</v>
      </c>
      <c r="U626" t="s">
        <v>2935</v>
      </c>
      <c r="V626">
        <v>2003</v>
      </c>
      <c r="W626">
        <v>2003</v>
      </c>
      <c r="X626">
        <v>2003</v>
      </c>
      <c r="Y626" t="s">
        <v>2936</v>
      </c>
      <c r="Z626">
        <v>2003</v>
      </c>
      <c r="AA626">
        <v>2003</v>
      </c>
      <c r="AB626" t="s">
        <v>2937</v>
      </c>
    </row>
    <row r="627" spans="1:28" x14ac:dyDescent="0.25">
      <c r="A627" t="s">
        <v>2938</v>
      </c>
      <c r="B627" t="s">
        <v>2939</v>
      </c>
      <c r="C627" t="s">
        <v>1376</v>
      </c>
      <c r="D627" t="s">
        <v>346</v>
      </c>
      <c r="E627" t="s">
        <v>347</v>
      </c>
      <c r="F627" t="s">
        <v>348</v>
      </c>
      <c r="G627" t="s">
        <v>513</v>
      </c>
      <c r="H627" t="s">
        <v>514</v>
      </c>
      <c r="I627" t="s">
        <v>481</v>
      </c>
      <c r="J627" t="s">
        <v>482</v>
      </c>
      <c r="M627" t="s">
        <v>1003</v>
      </c>
      <c r="N627">
        <v>46.686900000000001</v>
      </c>
      <c r="O627">
        <v>-91.152799999999999</v>
      </c>
      <c r="P627">
        <v>395</v>
      </c>
      <c r="Q627">
        <v>1</v>
      </c>
      <c r="R627">
        <v>2003</v>
      </c>
      <c r="S627">
        <v>2003</v>
      </c>
      <c r="T627">
        <v>2003</v>
      </c>
      <c r="U627" t="s">
        <v>2940</v>
      </c>
      <c r="Z627">
        <v>2003</v>
      </c>
      <c r="AA627">
        <v>2003</v>
      </c>
      <c r="AB627" t="s">
        <v>2937</v>
      </c>
    </row>
    <row r="628" spans="1:28" x14ac:dyDescent="0.25">
      <c r="A628" t="s">
        <v>2941</v>
      </c>
      <c r="B628" t="s">
        <v>2942</v>
      </c>
      <c r="C628" t="s">
        <v>1376</v>
      </c>
      <c r="D628" t="s">
        <v>346</v>
      </c>
      <c r="E628" t="s">
        <v>347</v>
      </c>
      <c r="F628" t="s">
        <v>347</v>
      </c>
      <c r="G628" t="s">
        <v>428</v>
      </c>
      <c r="H628" t="s">
        <v>429</v>
      </c>
      <c r="I628" t="s">
        <v>481</v>
      </c>
      <c r="J628" t="s">
        <v>482</v>
      </c>
      <c r="M628" t="s">
        <v>1003</v>
      </c>
      <c r="N628">
        <v>46.634700000000002</v>
      </c>
      <c r="O628">
        <v>-91.098699999999994</v>
      </c>
      <c r="P628">
        <v>411</v>
      </c>
      <c r="Q628">
        <v>3</v>
      </c>
      <c r="R628">
        <v>2002</v>
      </c>
      <c r="S628">
        <v>2004</v>
      </c>
      <c r="T628" t="s">
        <v>1199</v>
      </c>
      <c r="U628" t="s">
        <v>2943</v>
      </c>
      <c r="V628">
        <v>2002</v>
      </c>
      <c r="W628">
        <v>2004</v>
      </c>
      <c r="X628" t="s">
        <v>1199</v>
      </c>
      <c r="Y628" t="s">
        <v>2944</v>
      </c>
      <c r="Z628">
        <v>2002</v>
      </c>
      <c r="AA628">
        <v>2004</v>
      </c>
      <c r="AB628" t="s">
        <v>2937</v>
      </c>
    </row>
    <row r="629" spans="1:28" x14ac:dyDescent="0.25">
      <c r="A629" t="s">
        <v>2945</v>
      </c>
      <c r="B629" t="s">
        <v>2946</v>
      </c>
      <c r="C629" t="s">
        <v>1376</v>
      </c>
      <c r="D629" t="s">
        <v>346</v>
      </c>
      <c r="E629" t="s">
        <v>347</v>
      </c>
      <c r="F629" t="s">
        <v>347</v>
      </c>
      <c r="G629" t="s">
        <v>513</v>
      </c>
      <c r="H629" t="s">
        <v>514</v>
      </c>
      <c r="I629" t="s">
        <v>481</v>
      </c>
      <c r="J629" t="s">
        <v>482</v>
      </c>
      <c r="M629" t="s">
        <v>1003</v>
      </c>
      <c r="N629">
        <v>46.7393</v>
      </c>
      <c r="O629">
        <v>-91.166300000000007</v>
      </c>
      <c r="P629">
        <v>352</v>
      </c>
      <c r="Q629">
        <v>4</v>
      </c>
      <c r="R629">
        <v>2002</v>
      </c>
      <c r="S629">
        <v>2005</v>
      </c>
      <c r="T629" t="s">
        <v>1991</v>
      </c>
      <c r="U629" t="s">
        <v>2947</v>
      </c>
      <c r="V629">
        <v>2002</v>
      </c>
      <c r="W629">
        <v>2005</v>
      </c>
      <c r="X629" t="s">
        <v>1991</v>
      </c>
      <c r="Y629" t="s">
        <v>2948</v>
      </c>
      <c r="Z629">
        <v>2002</v>
      </c>
      <c r="AA629">
        <v>2005</v>
      </c>
      <c r="AB629" t="s">
        <v>2937</v>
      </c>
    </row>
    <row r="630" spans="1:28" x14ac:dyDescent="0.25">
      <c r="A630" t="s">
        <v>2949</v>
      </c>
      <c r="B630" t="s">
        <v>2950</v>
      </c>
      <c r="C630" t="s">
        <v>1376</v>
      </c>
      <c r="D630" t="s">
        <v>346</v>
      </c>
      <c r="E630" t="s">
        <v>347</v>
      </c>
      <c r="F630" t="s">
        <v>347</v>
      </c>
      <c r="G630" t="s">
        <v>513</v>
      </c>
      <c r="H630" t="s">
        <v>514</v>
      </c>
      <c r="I630" t="s">
        <v>481</v>
      </c>
      <c r="J630" t="s">
        <v>482</v>
      </c>
      <c r="M630" t="s">
        <v>1003</v>
      </c>
      <c r="N630">
        <v>46.653100000000002</v>
      </c>
      <c r="O630">
        <v>-91.085800000000006</v>
      </c>
      <c r="P630">
        <v>353</v>
      </c>
      <c r="Q630">
        <v>1</v>
      </c>
      <c r="R630">
        <v>2004</v>
      </c>
      <c r="S630">
        <v>2004</v>
      </c>
      <c r="T630">
        <v>2004</v>
      </c>
      <c r="U630" t="s">
        <v>2951</v>
      </c>
      <c r="V630">
        <v>2004</v>
      </c>
      <c r="W630">
        <v>2004</v>
      </c>
      <c r="X630">
        <v>2004</v>
      </c>
      <c r="Y630" t="s">
        <v>2952</v>
      </c>
      <c r="Z630">
        <v>2004</v>
      </c>
      <c r="AA630">
        <v>2004</v>
      </c>
      <c r="AB630" t="s">
        <v>2932</v>
      </c>
    </row>
    <row r="631" spans="1:28" x14ac:dyDescent="0.25">
      <c r="A631" t="s">
        <v>2953</v>
      </c>
      <c r="B631" t="s">
        <v>2954</v>
      </c>
      <c r="C631" t="s">
        <v>1376</v>
      </c>
      <c r="D631" t="s">
        <v>346</v>
      </c>
      <c r="E631" t="s">
        <v>347</v>
      </c>
      <c r="F631" t="s">
        <v>347</v>
      </c>
      <c r="G631" t="s">
        <v>581</v>
      </c>
      <c r="H631" t="s">
        <v>582</v>
      </c>
      <c r="I631" t="s">
        <v>481</v>
      </c>
      <c r="J631" t="s">
        <v>482</v>
      </c>
      <c r="M631" t="s">
        <v>1003</v>
      </c>
      <c r="N631">
        <v>46.624899999999997</v>
      </c>
      <c r="O631">
        <v>-91.298199999999994</v>
      </c>
      <c r="P631">
        <v>371</v>
      </c>
      <c r="Q631">
        <v>2</v>
      </c>
      <c r="R631">
        <v>2002</v>
      </c>
      <c r="S631">
        <v>2003</v>
      </c>
      <c r="T631" t="s">
        <v>1913</v>
      </c>
      <c r="U631" t="s">
        <v>2955</v>
      </c>
      <c r="V631">
        <v>2002</v>
      </c>
      <c r="W631">
        <v>2003</v>
      </c>
      <c r="X631" t="s">
        <v>1913</v>
      </c>
      <c r="Y631" t="s">
        <v>2956</v>
      </c>
      <c r="Z631">
        <v>2002</v>
      </c>
      <c r="AA631">
        <v>2002</v>
      </c>
      <c r="AB631" t="s">
        <v>2932</v>
      </c>
    </row>
    <row r="632" spans="1:28" x14ac:dyDescent="0.25">
      <c r="A632" t="s">
        <v>2957</v>
      </c>
      <c r="B632" t="s">
        <v>2958</v>
      </c>
      <c r="C632" t="s">
        <v>1376</v>
      </c>
      <c r="D632" t="s">
        <v>346</v>
      </c>
      <c r="E632" t="s">
        <v>347</v>
      </c>
      <c r="F632" t="s">
        <v>347</v>
      </c>
      <c r="G632" t="s">
        <v>581</v>
      </c>
      <c r="H632" t="s">
        <v>582</v>
      </c>
      <c r="I632" t="s">
        <v>481</v>
      </c>
      <c r="J632" t="s">
        <v>482</v>
      </c>
      <c r="M632" t="s">
        <v>1003</v>
      </c>
      <c r="N632">
        <v>46.649099999999997</v>
      </c>
      <c r="O632">
        <v>-91.069299999999998</v>
      </c>
      <c r="P632">
        <v>335</v>
      </c>
      <c r="Q632">
        <v>1</v>
      </c>
      <c r="R632">
        <v>2005</v>
      </c>
      <c r="S632">
        <v>2005</v>
      </c>
      <c r="T632">
        <v>2005</v>
      </c>
      <c r="U632" t="s">
        <v>2959</v>
      </c>
      <c r="V632">
        <v>2005</v>
      </c>
      <c r="W632">
        <v>2005</v>
      </c>
      <c r="X632">
        <v>2005</v>
      </c>
      <c r="Y632" t="s">
        <v>2960</v>
      </c>
      <c r="Z632">
        <v>2005</v>
      </c>
      <c r="AA632">
        <v>2005</v>
      </c>
      <c r="AB632" t="s">
        <v>2932</v>
      </c>
    </row>
    <row r="633" spans="1:28" x14ac:dyDescent="0.25">
      <c r="A633" t="s">
        <v>2961</v>
      </c>
      <c r="B633" t="s">
        <v>2962</v>
      </c>
      <c r="C633" t="s">
        <v>1376</v>
      </c>
      <c r="D633" t="s">
        <v>346</v>
      </c>
      <c r="E633" t="s">
        <v>347</v>
      </c>
      <c r="F633" t="s">
        <v>347</v>
      </c>
      <c r="G633" t="s">
        <v>428</v>
      </c>
      <c r="H633" t="s">
        <v>429</v>
      </c>
      <c r="I633" t="s">
        <v>481</v>
      </c>
      <c r="J633" t="s">
        <v>482</v>
      </c>
      <c r="M633" t="s">
        <v>1003</v>
      </c>
      <c r="N633">
        <v>46.722299999999997</v>
      </c>
      <c r="O633">
        <v>-91.252399999999994</v>
      </c>
      <c r="P633">
        <v>348</v>
      </c>
      <c r="Q633">
        <v>1</v>
      </c>
      <c r="R633">
        <v>2002</v>
      </c>
      <c r="S633">
        <v>2002</v>
      </c>
      <c r="T633">
        <v>2002</v>
      </c>
      <c r="U633" t="s">
        <v>2963</v>
      </c>
      <c r="V633">
        <v>2002</v>
      </c>
      <c r="W633">
        <v>2002</v>
      </c>
      <c r="X633">
        <v>2002</v>
      </c>
      <c r="Y633" t="s">
        <v>2964</v>
      </c>
      <c r="Z633">
        <v>2002</v>
      </c>
      <c r="AA633">
        <v>2002</v>
      </c>
      <c r="AB633" t="s">
        <v>2932</v>
      </c>
    </row>
    <row r="634" spans="1:28" x14ac:dyDescent="0.25">
      <c r="A634" t="s">
        <v>2965</v>
      </c>
      <c r="B634" t="s">
        <v>2966</v>
      </c>
      <c r="C634" t="s">
        <v>1376</v>
      </c>
      <c r="D634" t="s">
        <v>346</v>
      </c>
      <c r="E634" t="s">
        <v>347</v>
      </c>
      <c r="F634" t="s">
        <v>347</v>
      </c>
      <c r="G634" t="s">
        <v>513</v>
      </c>
      <c r="H634" t="s">
        <v>514</v>
      </c>
      <c r="I634" t="s">
        <v>481</v>
      </c>
      <c r="J634" t="s">
        <v>482</v>
      </c>
      <c r="M634" t="s">
        <v>1003</v>
      </c>
      <c r="N634">
        <v>46.738500000000002</v>
      </c>
      <c r="O634">
        <v>-91.074600000000004</v>
      </c>
      <c r="P634">
        <v>350</v>
      </c>
      <c r="Q634">
        <v>2</v>
      </c>
      <c r="R634">
        <v>2004</v>
      </c>
      <c r="S634">
        <v>2005</v>
      </c>
      <c r="T634" t="s">
        <v>560</v>
      </c>
      <c r="U634" t="s">
        <v>2967</v>
      </c>
      <c r="V634">
        <v>2004</v>
      </c>
      <c r="W634">
        <v>2005</v>
      </c>
      <c r="X634" t="s">
        <v>560</v>
      </c>
      <c r="Y634" t="s">
        <v>2968</v>
      </c>
      <c r="Z634">
        <v>2004</v>
      </c>
      <c r="AA634">
        <v>2005</v>
      </c>
      <c r="AB634" t="s">
        <v>2937</v>
      </c>
    </row>
    <row r="635" spans="1:28" x14ac:dyDescent="0.25">
      <c r="A635" t="s">
        <v>96</v>
      </c>
      <c r="B635" t="s">
        <v>2969</v>
      </c>
      <c r="C635" t="s">
        <v>1607</v>
      </c>
      <c r="D635" t="s">
        <v>346</v>
      </c>
      <c r="E635" t="s">
        <v>347</v>
      </c>
      <c r="F635" t="s">
        <v>347</v>
      </c>
      <c r="G635" t="s">
        <v>1436</v>
      </c>
      <c r="H635" t="s">
        <v>1437</v>
      </c>
      <c r="I635" t="s">
        <v>913</v>
      </c>
      <c r="J635" t="s">
        <v>914</v>
      </c>
      <c r="K635">
        <v>361</v>
      </c>
      <c r="L635">
        <v>15.2</v>
      </c>
      <c r="M635" t="s">
        <v>1003</v>
      </c>
      <c r="N635">
        <v>34.4255</v>
      </c>
      <c r="O635">
        <v>-105.86150000000001</v>
      </c>
      <c r="P635">
        <v>1931</v>
      </c>
      <c r="Q635">
        <v>18</v>
      </c>
      <c r="R635">
        <v>2007</v>
      </c>
      <c r="S635">
        <v>2024</v>
      </c>
      <c r="T635" t="s">
        <v>1774</v>
      </c>
      <c r="U635" t="s">
        <v>2970</v>
      </c>
      <c r="V635">
        <v>2007</v>
      </c>
      <c r="W635">
        <v>2021</v>
      </c>
      <c r="X635" t="s">
        <v>2577</v>
      </c>
      <c r="Y635" t="s">
        <v>2971</v>
      </c>
      <c r="Z635">
        <v>2007</v>
      </c>
      <c r="AB635" t="s">
        <v>2146</v>
      </c>
    </row>
    <row r="636" spans="1:28" x14ac:dyDescent="0.25">
      <c r="A636" t="s">
        <v>97</v>
      </c>
      <c r="B636" t="s">
        <v>2972</v>
      </c>
      <c r="C636" t="s">
        <v>1344</v>
      </c>
      <c r="D636" t="s">
        <v>346</v>
      </c>
      <c r="E636" t="s">
        <v>347</v>
      </c>
      <c r="F636" t="s">
        <v>347</v>
      </c>
      <c r="G636" t="s">
        <v>367</v>
      </c>
      <c r="H636" t="s">
        <v>368</v>
      </c>
      <c r="I636" t="s">
        <v>913</v>
      </c>
      <c r="J636" t="s">
        <v>914</v>
      </c>
      <c r="K636">
        <v>407</v>
      </c>
      <c r="L636">
        <v>15.64</v>
      </c>
      <c r="M636" t="s">
        <v>1003</v>
      </c>
      <c r="N636">
        <v>31.736499999999999</v>
      </c>
      <c r="O636">
        <v>-109.9419</v>
      </c>
      <c r="P636">
        <v>1531</v>
      </c>
      <c r="Q636">
        <v>21</v>
      </c>
      <c r="R636">
        <v>2004</v>
      </c>
      <c r="S636">
        <v>2024</v>
      </c>
      <c r="T636" t="s">
        <v>1128</v>
      </c>
      <c r="U636" t="s">
        <v>2973</v>
      </c>
      <c r="V636">
        <v>2004</v>
      </c>
      <c r="W636">
        <v>2021</v>
      </c>
      <c r="X636" t="s">
        <v>2138</v>
      </c>
      <c r="Y636" t="s">
        <v>2974</v>
      </c>
      <c r="Z636">
        <v>2004</v>
      </c>
      <c r="AB636" t="s">
        <v>2669</v>
      </c>
    </row>
    <row r="637" spans="1:28" x14ac:dyDescent="0.25">
      <c r="A637" t="s">
        <v>2975</v>
      </c>
      <c r="B637" t="s">
        <v>2976</v>
      </c>
      <c r="C637" t="s">
        <v>2977</v>
      </c>
      <c r="D637" t="s">
        <v>346</v>
      </c>
      <c r="E637" t="s">
        <v>347</v>
      </c>
      <c r="F637" t="s">
        <v>348</v>
      </c>
      <c r="G637" t="s">
        <v>367</v>
      </c>
      <c r="H637" t="s">
        <v>368</v>
      </c>
      <c r="I637" t="s">
        <v>360</v>
      </c>
      <c r="J637" t="s">
        <v>361</v>
      </c>
      <c r="K637">
        <v>881</v>
      </c>
      <c r="L637">
        <v>13.52</v>
      </c>
      <c r="M637" t="s">
        <v>1003</v>
      </c>
      <c r="N637">
        <v>37.520800000000001</v>
      </c>
      <c r="O637">
        <v>-96.855000000000004</v>
      </c>
      <c r="P637">
        <v>408</v>
      </c>
      <c r="Q637">
        <v>4</v>
      </c>
      <c r="R637">
        <v>2001</v>
      </c>
      <c r="S637">
        <v>2004</v>
      </c>
      <c r="T637" t="s">
        <v>2978</v>
      </c>
      <c r="U637" t="s">
        <v>2979</v>
      </c>
      <c r="Z637">
        <v>2001</v>
      </c>
      <c r="AA637">
        <v>2004</v>
      </c>
      <c r="AB637" t="s">
        <v>2980</v>
      </c>
    </row>
    <row r="638" spans="1:28" x14ac:dyDescent="0.25">
      <c r="A638" t="s">
        <v>2981</v>
      </c>
      <c r="B638" t="s">
        <v>2982</v>
      </c>
      <c r="C638" t="s">
        <v>2031</v>
      </c>
      <c r="D638" t="s">
        <v>375</v>
      </c>
      <c r="E638" t="s">
        <v>347</v>
      </c>
      <c r="F638" t="s">
        <v>348</v>
      </c>
      <c r="G638" t="s">
        <v>428</v>
      </c>
      <c r="H638" t="s">
        <v>429</v>
      </c>
      <c r="I638" t="s">
        <v>573</v>
      </c>
      <c r="J638" t="s">
        <v>574</v>
      </c>
      <c r="K638">
        <v>1293</v>
      </c>
      <c r="L638">
        <v>11.39</v>
      </c>
      <c r="M638" t="s">
        <v>1003</v>
      </c>
      <c r="N638">
        <v>44.136899999999997</v>
      </c>
      <c r="O638">
        <v>-123.1824</v>
      </c>
      <c r="P638">
        <v>111</v>
      </c>
      <c r="Q638">
        <v>1</v>
      </c>
      <c r="R638">
        <v>2015</v>
      </c>
      <c r="S638">
        <v>2015</v>
      </c>
      <c r="T638">
        <v>2015</v>
      </c>
      <c r="U638" t="s">
        <v>2983</v>
      </c>
      <c r="Z638">
        <v>2015</v>
      </c>
      <c r="AA638">
        <v>2016</v>
      </c>
      <c r="AB638" t="s">
        <v>2984</v>
      </c>
    </row>
    <row r="639" spans="1:28" x14ac:dyDescent="0.25">
      <c r="A639" t="s">
        <v>2985</v>
      </c>
      <c r="B639" t="s">
        <v>2986</v>
      </c>
      <c r="C639" t="s">
        <v>1376</v>
      </c>
      <c r="D639" t="s">
        <v>346</v>
      </c>
      <c r="E639" t="s">
        <v>347</v>
      </c>
      <c r="F639" t="s">
        <v>347</v>
      </c>
      <c r="G639" t="s">
        <v>376</v>
      </c>
      <c r="H639" t="s">
        <v>377</v>
      </c>
      <c r="I639" t="s">
        <v>1175</v>
      </c>
      <c r="J639" t="s">
        <v>1176</v>
      </c>
      <c r="K639">
        <v>849</v>
      </c>
      <c r="L639">
        <v>10.1</v>
      </c>
      <c r="M639" t="s">
        <v>1003</v>
      </c>
      <c r="N639">
        <v>41.464599999999997</v>
      </c>
      <c r="O639">
        <v>-82.996200000000002</v>
      </c>
      <c r="P639">
        <v>175</v>
      </c>
      <c r="Q639">
        <v>3</v>
      </c>
      <c r="R639">
        <v>2011</v>
      </c>
      <c r="S639">
        <v>2013</v>
      </c>
      <c r="T639" t="s">
        <v>1377</v>
      </c>
      <c r="U639" t="s">
        <v>2987</v>
      </c>
      <c r="V639">
        <v>2011</v>
      </c>
      <c r="W639">
        <v>2013</v>
      </c>
      <c r="X639" t="s">
        <v>1377</v>
      </c>
      <c r="Y639" t="s">
        <v>2988</v>
      </c>
      <c r="Z639">
        <v>2011</v>
      </c>
      <c r="AA639">
        <v>2013</v>
      </c>
      <c r="AB639" t="s">
        <v>2989</v>
      </c>
    </row>
    <row r="640" spans="1:28" x14ac:dyDescent="0.25">
      <c r="A640" t="s">
        <v>2990</v>
      </c>
      <c r="B640" t="s">
        <v>2991</v>
      </c>
      <c r="C640" t="s">
        <v>1474</v>
      </c>
      <c r="D640" t="s">
        <v>346</v>
      </c>
      <c r="E640" t="s">
        <v>347</v>
      </c>
      <c r="F640" t="s">
        <v>348</v>
      </c>
      <c r="G640" t="s">
        <v>513</v>
      </c>
      <c r="H640" t="s">
        <v>514</v>
      </c>
      <c r="I640" t="s">
        <v>573</v>
      </c>
      <c r="J640" t="s">
        <v>574</v>
      </c>
      <c r="K640">
        <v>2452</v>
      </c>
      <c r="L640">
        <v>8.8000000000000007</v>
      </c>
      <c r="M640" t="s">
        <v>1003</v>
      </c>
      <c r="N640">
        <v>45.820500000000003</v>
      </c>
      <c r="O640">
        <v>-121.95189999999999</v>
      </c>
      <c r="P640">
        <v>371</v>
      </c>
      <c r="Q640">
        <v>18</v>
      </c>
      <c r="R640">
        <v>1998</v>
      </c>
      <c r="S640">
        <v>2015</v>
      </c>
      <c r="T640" t="s">
        <v>2992</v>
      </c>
      <c r="U640" t="s">
        <v>2993</v>
      </c>
      <c r="Z640">
        <v>1998</v>
      </c>
      <c r="AA640">
        <v>2016</v>
      </c>
      <c r="AB640" t="s">
        <v>720</v>
      </c>
    </row>
    <row r="641" spans="1:28" x14ac:dyDescent="0.25">
      <c r="A641" t="s">
        <v>2994</v>
      </c>
      <c r="B641" t="s">
        <v>2995</v>
      </c>
      <c r="C641" t="s">
        <v>2996</v>
      </c>
      <c r="D641" t="s">
        <v>346</v>
      </c>
      <c r="E641" t="s">
        <v>347</v>
      </c>
      <c r="F641" t="s">
        <v>348</v>
      </c>
      <c r="G641" t="s">
        <v>349</v>
      </c>
      <c r="H641" t="s">
        <v>350</v>
      </c>
      <c r="I641" t="s">
        <v>913</v>
      </c>
      <c r="J641" t="s">
        <v>914</v>
      </c>
      <c r="K641">
        <v>482</v>
      </c>
      <c r="L641">
        <v>14.4</v>
      </c>
      <c r="M641" t="s">
        <v>1003</v>
      </c>
      <c r="N641">
        <v>34.367400000000004</v>
      </c>
      <c r="O641">
        <v>-101.8154</v>
      </c>
      <c r="P641">
        <v>1058</v>
      </c>
      <c r="Q641">
        <v>1</v>
      </c>
      <c r="R641">
        <v>2023</v>
      </c>
      <c r="S641">
        <v>2023</v>
      </c>
      <c r="T641">
        <v>2023</v>
      </c>
      <c r="U641" t="s">
        <v>2997</v>
      </c>
      <c r="Z641">
        <v>2023</v>
      </c>
      <c r="AB641" t="s">
        <v>2998</v>
      </c>
    </row>
    <row r="642" spans="1:28" x14ac:dyDescent="0.25">
      <c r="A642" t="s">
        <v>2999</v>
      </c>
      <c r="B642" t="s">
        <v>3000</v>
      </c>
      <c r="C642" t="s">
        <v>2031</v>
      </c>
      <c r="D642" t="s">
        <v>375</v>
      </c>
      <c r="E642" t="s">
        <v>347</v>
      </c>
      <c r="F642" t="s">
        <v>348</v>
      </c>
      <c r="G642" t="s">
        <v>349</v>
      </c>
      <c r="H642" t="s">
        <v>350</v>
      </c>
      <c r="I642" t="s">
        <v>573</v>
      </c>
      <c r="J642" t="s">
        <v>574</v>
      </c>
      <c r="K642">
        <v>1194</v>
      </c>
      <c r="L642">
        <v>11.58</v>
      </c>
      <c r="M642" t="s">
        <v>1003</v>
      </c>
      <c r="N642">
        <v>45.108899999999998</v>
      </c>
      <c r="O642">
        <v>-122.6664</v>
      </c>
      <c r="P642">
        <v>52</v>
      </c>
      <c r="Q642">
        <v>2</v>
      </c>
      <c r="R642">
        <v>2014</v>
      </c>
      <c r="S642">
        <v>2015</v>
      </c>
      <c r="T642" t="s">
        <v>382</v>
      </c>
      <c r="U642" t="s">
        <v>3001</v>
      </c>
      <c r="Z642">
        <v>2014</v>
      </c>
      <c r="AA642">
        <v>2016</v>
      </c>
      <c r="AB642" t="s">
        <v>3002</v>
      </c>
    </row>
    <row r="643" spans="1:28" x14ac:dyDescent="0.25">
      <c r="A643" t="s">
        <v>98</v>
      </c>
      <c r="B643" t="s">
        <v>3003</v>
      </c>
      <c r="C643" t="s">
        <v>992</v>
      </c>
      <c r="D643" t="s">
        <v>346</v>
      </c>
      <c r="E643" t="s">
        <v>347</v>
      </c>
      <c r="F643" t="s">
        <v>347</v>
      </c>
      <c r="G643" t="s">
        <v>513</v>
      </c>
      <c r="H643" t="s">
        <v>514</v>
      </c>
      <c r="I643" t="s">
        <v>573</v>
      </c>
      <c r="J643" t="s">
        <v>574</v>
      </c>
      <c r="K643">
        <v>2450.59</v>
      </c>
      <c r="L643">
        <v>10</v>
      </c>
      <c r="M643" t="s">
        <v>1003</v>
      </c>
      <c r="N643">
        <v>45.7624</v>
      </c>
      <c r="O643">
        <v>-122.33029999999999</v>
      </c>
      <c r="P643">
        <v>363</v>
      </c>
      <c r="Q643">
        <v>7</v>
      </c>
      <c r="R643">
        <v>2017</v>
      </c>
      <c r="S643">
        <v>2023</v>
      </c>
      <c r="T643" t="s">
        <v>2114</v>
      </c>
      <c r="U643" t="s">
        <v>3004</v>
      </c>
      <c r="V643">
        <v>2017</v>
      </c>
      <c r="W643">
        <v>2023</v>
      </c>
      <c r="X643" t="s">
        <v>2114</v>
      </c>
      <c r="Y643" t="s">
        <v>3005</v>
      </c>
      <c r="Z643">
        <v>2017</v>
      </c>
      <c r="AB643" t="s">
        <v>995</v>
      </c>
    </row>
    <row r="644" spans="1:28" x14ac:dyDescent="0.25">
      <c r="A644" t="s">
        <v>99</v>
      </c>
      <c r="B644" t="s">
        <v>3006</v>
      </c>
      <c r="C644" t="s">
        <v>992</v>
      </c>
      <c r="D644" t="s">
        <v>346</v>
      </c>
      <c r="E644" t="s">
        <v>347</v>
      </c>
      <c r="F644" t="s">
        <v>347</v>
      </c>
      <c r="G644" t="s">
        <v>367</v>
      </c>
      <c r="H644" t="s">
        <v>368</v>
      </c>
      <c r="I644" t="s">
        <v>360</v>
      </c>
      <c r="J644" t="s">
        <v>361</v>
      </c>
      <c r="K644">
        <v>778.85</v>
      </c>
      <c r="L644">
        <v>15.5</v>
      </c>
      <c r="M644" t="s">
        <v>1003</v>
      </c>
      <c r="N644">
        <v>35.410600000000002</v>
      </c>
      <c r="O644">
        <v>-99.058800000000005</v>
      </c>
      <c r="P644">
        <v>516</v>
      </c>
      <c r="Q644">
        <v>7</v>
      </c>
      <c r="R644">
        <v>2017</v>
      </c>
      <c r="S644">
        <v>2023</v>
      </c>
      <c r="T644" t="s">
        <v>2114</v>
      </c>
      <c r="U644" t="s">
        <v>3007</v>
      </c>
      <c r="V644">
        <v>2017</v>
      </c>
      <c r="W644">
        <v>2021</v>
      </c>
      <c r="X644" t="s">
        <v>1170</v>
      </c>
      <c r="Y644" t="s">
        <v>3008</v>
      </c>
      <c r="Z644">
        <v>2017</v>
      </c>
      <c r="AB644" t="s">
        <v>999</v>
      </c>
    </row>
    <row r="645" spans="1:28" x14ac:dyDescent="0.25">
      <c r="A645" t="s">
        <v>100</v>
      </c>
      <c r="B645" t="s">
        <v>3009</v>
      </c>
      <c r="C645" t="s">
        <v>992</v>
      </c>
      <c r="D645" t="s">
        <v>346</v>
      </c>
      <c r="E645" t="s">
        <v>347</v>
      </c>
      <c r="F645" t="s">
        <v>347</v>
      </c>
      <c r="G645" t="s">
        <v>376</v>
      </c>
      <c r="H645" t="s">
        <v>377</v>
      </c>
      <c r="I645" t="s">
        <v>680</v>
      </c>
      <c r="J645" t="s">
        <v>681</v>
      </c>
      <c r="K645">
        <v>110</v>
      </c>
      <c r="L645">
        <v>-12</v>
      </c>
      <c r="M645" t="s">
        <v>1003</v>
      </c>
      <c r="N645">
        <v>71.282399999999996</v>
      </c>
      <c r="O645">
        <v>-156.61940000000001</v>
      </c>
      <c r="P645">
        <v>6</v>
      </c>
      <c r="Q645">
        <v>7</v>
      </c>
      <c r="R645">
        <v>2017</v>
      </c>
      <c r="S645">
        <v>2023</v>
      </c>
      <c r="T645" t="s">
        <v>2114</v>
      </c>
      <c r="U645" t="s">
        <v>3010</v>
      </c>
      <c r="V645">
        <v>2019</v>
      </c>
      <c r="W645">
        <v>2021</v>
      </c>
      <c r="X645" t="s">
        <v>1323</v>
      </c>
      <c r="Y645" t="s">
        <v>3011</v>
      </c>
      <c r="Z645">
        <v>2017</v>
      </c>
      <c r="AB645" t="s">
        <v>999</v>
      </c>
    </row>
    <row r="646" spans="1:28" x14ac:dyDescent="0.25">
      <c r="A646" t="s">
        <v>101</v>
      </c>
      <c r="B646" t="s">
        <v>3012</v>
      </c>
      <c r="C646" t="s">
        <v>992</v>
      </c>
      <c r="D646" t="s">
        <v>346</v>
      </c>
      <c r="E646" t="s">
        <v>347</v>
      </c>
      <c r="F646" t="s">
        <v>347</v>
      </c>
      <c r="G646" t="s">
        <v>428</v>
      </c>
      <c r="H646" t="s">
        <v>429</v>
      </c>
      <c r="I646" t="s">
        <v>360</v>
      </c>
      <c r="J646" t="s">
        <v>361</v>
      </c>
      <c r="K646">
        <v>982.55</v>
      </c>
      <c r="L646">
        <v>12.1</v>
      </c>
      <c r="M646" t="s">
        <v>1003</v>
      </c>
      <c r="N646">
        <v>39.060299999999998</v>
      </c>
      <c r="O646">
        <v>-78.071600000000004</v>
      </c>
      <c r="P646">
        <v>183</v>
      </c>
      <c r="Q646">
        <v>7</v>
      </c>
      <c r="R646">
        <v>2017</v>
      </c>
      <c r="S646">
        <v>2023</v>
      </c>
      <c r="T646" t="s">
        <v>2114</v>
      </c>
      <c r="U646" t="s">
        <v>3013</v>
      </c>
      <c r="V646">
        <v>2019</v>
      </c>
      <c r="W646">
        <v>2021</v>
      </c>
      <c r="X646" t="s">
        <v>1323</v>
      </c>
      <c r="Y646" t="s">
        <v>3014</v>
      </c>
      <c r="Z646">
        <v>2016</v>
      </c>
      <c r="AB646" t="s">
        <v>995</v>
      </c>
    </row>
    <row r="647" spans="1:28" x14ac:dyDescent="0.25">
      <c r="A647" t="s">
        <v>102</v>
      </c>
      <c r="B647" t="s">
        <v>3015</v>
      </c>
      <c r="C647" t="s">
        <v>992</v>
      </c>
      <c r="D647" t="s">
        <v>346</v>
      </c>
      <c r="E647" t="s">
        <v>347</v>
      </c>
      <c r="F647" t="s">
        <v>347</v>
      </c>
      <c r="G647" t="s">
        <v>513</v>
      </c>
      <c r="H647" t="s">
        <v>514</v>
      </c>
      <c r="I647" t="s">
        <v>1581</v>
      </c>
      <c r="J647" t="s">
        <v>1582</v>
      </c>
      <c r="K647">
        <v>275</v>
      </c>
      <c r="L647">
        <v>-2</v>
      </c>
      <c r="M647" t="s">
        <v>1003</v>
      </c>
      <c r="N647">
        <v>65.153999999999996</v>
      </c>
      <c r="O647">
        <v>-147.5026</v>
      </c>
      <c r="P647">
        <v>263</v>
      </c>
      <c r="Q647">
        <v>7</v>
      </c>
      <c r="R647">
        <v>2017</v>
      </c>
      <c r="S647">
        <v>2023</v>
      </c>
      <c r="T647" t="s">
        <v>2114</v>
      </c>
      <c r="U647" t="s">
        <v>3016</v>
      </c>
      <c r="V647">
        <v>2019</v>
      </c>
      <c r="W647">
        <v>2021</v>
      </c>
      <c r="X647" t="s">
        <v>1323</v>
      </c>
      <c r="Y647" t="s">
        <v>3017</v>
      </c>
      <c r="Z647">
        <v>2017</v>
      </c>
      <c r="AB647" t="s">
        <v>995</v>
      </c>
    </row>
    <row r="648" spans="1:28" x14ac:dyDescent="0.25">
      <c r="A648" t="s">
        <v>103</v>
      </c>
      <c r="B648" t="s">
        <v>3018</v>
      </c>
      <c r="C648" t="s">
        <v>992</v>
      </c>
      <c r="D648" t="s">
        <v>346</v>
      </c>
      <c r="E648" t="s">
        <v>347</v>
      </c>
      <c r="F648" t="s">
        <v>347</v>
      </c>
      <c r="G648" t="s">
        <v>428</v>
      </c>
      <c r="H648" t="s">
        <v>429</v>
      </c>
      <c r="I648" t="s">
        <v>481</v>
      </c>
      <c r="J648" t="s">
        <v>482</v>
      </c>
      <c r="K648">
        <v>1246</v>
      </c>
      <c r="L648">
        <v>5.6</v>
      </c>
      <c r="M648" t="s">
        <v>1003</v>
      </c>
      <c r="N648">
        <v>44.063899999999997</v>
      </c>
      <c r="O648">
        <v>-71.287300000000002</v>
      </c>
      <c r="P648">
        <v>232</v>
      </c>
      <c r="Q648">
        <v>7</v>
      </c>
      <c r="R648">
        <v>2017</v>
      </c>
      <c r="S648">
        <v>2023</v>
      </c>
      <c r="T648" t="s">
        <v>2114</v>
      </c>
      <c r="U648" t="s">
        <v>3019</v>
      </c>
      <c r="V648">
        <v>2017</v>
      </c>
      <c r="W648">
        <v>2021</v>
      </c>
      <c r="X648" t="s">
        <v>1170</v>
      </c>
      <c r="Y648" t="s">
        <v>3020</v>
      </c>
      <c r="Z648">
        <v>2016</v>
      </c>
      <c r="AB648" t="s">
        <v>995</v>
      </c>
    </row>
    <row r="649" spans="1:28" x14ac:dyDescent="0.25">
      <c r="A649" t="s">
        <v>104</v>
      </c>
      <c r="B649" t="s">
        <v>3021</v>
      </c>
      <c r="C649" t="s">
        <v>992</v>
      </c>
      <c r="D649" t="s">
        <v>346</v>
      </c>
      <c r="E649" t="s">
        <v>347</v>
      </c>
      <c r="F649" t="s">
        <v>347</v>
      </c>
      <c r="G649" t="s">
        <v>367</v>
      </c>
      <c r="H649" t="s">
        <v>368</v>
      </c>
      <c r="I649" t="s">
        <v>360</v>
      </c>
      <c r="J649" t="s">
        <v>361</v>
      </c>
      <c r="K649">
        <v>925.61</v>
      </c>
      <c r="L649">
        <v>17.5</v>
      </c>
      <c r="M649" t="s">
        <v>1003</v>
      </c>
      <c r="N649">
        <v>33.401200000000003</v>
      </c>
      <c r="O649">
        <v>-97.57</v>
      </c>
      <c r="P649">
        <v>259</v>
      </c>
      <c r="Q649">
        <v>7</v>
      </c>
      <c r="R649">
        <v>2017</v>
      </c>
      <c r="S649">
        <v>2023</v>
      </c>
      <c r="T649" t="s">
        <v>2114</v>
      </c>
      <c r="U649" t="s">
        <v>3022</v>
      </c>
      <c r="V649">
        <v>2017</v>
      </c>
      <c r="W649">
        <v>2021</v>
      </c>
      <c r="X649" t="s">
        <v>1170</v>
      </c>
      <c r="Y649" t="s">
        <v>3023</v>
      </c>
      <c r="Z649">
        <v>2017</v>
      </c>
      <c r="AB649" t="s">
        <v>995</v>
      </c>
    </row>
    <row r="650" spans="1:28" x14ac:dyDescent="0.25">
      <c r="A650" t="s">
        <v>105</v>
      </c>
      <c r="B650" t="s">
        <v>3024</v>
      </c>
      <c r="C650" t="s">
        <v>992</v>
      </c>
      <c r="D650" t="s">
        <v>346</v>
      </c>
      <c r="E650" t="s">
        <v>347</v>
      </c>
      <c r="F650" t="s">
        <v>347</v>
      </c>
      <c r="G650" t="s">
        <v>367</v>
      </c>
      <c r="H650" t="s">
        <v>368</v>
      </c>
      <c r="I650" t="s">
        <v>913</v>
      </c>
      <c r="J650" t="s">
        <v>914</v>
      </c>
      <c r="K650">
        <v>320</v>
      </c>
      <c r="L650">
        <v>8.6</v>
      </c>
      <c r="M650" t="s">
        <v>1003</v>
      </c>
      <c r="N650">
        <v>40.8155</v>
      </c>
      <c r="O650">
        <v>-104.7456</v>
      </c>
      <c r="P650">
        <v>1654</v>
      </c>
      <c r="Q650">
        <v>8</v>
      </c>
      <c r="R650">
        <v>2016</v>
      </c>
      <c r="S650">
        <v>2023</v>
      </c>
      <c r="T650" t="s">
        <v>2133</v>
      </c>
      <c r="U650" t="s">
        <v>3025</v>
      </c>
      <c r="V650">
        <v>2016</v>
      </c>
      <c r="W650">
        <v>2021</v>
      </c>
      <c r="X650" t="s">
        <v>1163</v>
      </c>
      <c r="Y650" t="s">
        <v>3026</v>
      </c>
      <c r="Z650">
        <v>2016</v>
      </c>
      <c r="AB650" t="s">
        <v>999</v>
      </c>
    </row>
    <row r="651" spans="1:28" x14ac:dyDescent="0.25">
      <c r="A651" t="s">
        <v>106</v>
      </c>
      <c r="B651" t="s">
        <v>3027</v>
      </c>
      <c r="C651" t="s">
        <v>992</v>
      </c>
      <c r="D651" t="s">
        <v>346</v>
      </c>
      <c r="E651" t="s">
        <v>347</v>
      </c>
      <c r="F651" t="s">
        <v>347</v>
      </c>
      <c r="G651" t="s">
        <v>367</v>
      </c>
      <c r="H651" t="s">
        <v>368</v>
      </c>
      <c r="I651" t="s">
        <v>481</v>
      </c>
      <c r="J651" t="s">
        <v>482</v>
      </c>
      <c r="K651">
        <v>489.74</v>
      </c>
      <c r="L651">
        <v>4.9000000000000004</v>
      </c>
      <c r="M651" t="s">
        <v>1003</v>
      </c>
      <c r="N651">
        <v>47.161700000000003</v>
      </c>
      <c r="O651">
        <v>-99.1066</v>
      </c>
      <c r="P651">
        <v>559</v>
      </c>
      <c r="Q651">
        <v>7</v>
      </c>
      <c r="R651">
        <v>2017</v>
      </c>
      <c r="S651">
        <v>2023</v>
      </c>
      <c r="T651" t="s">
        <v>2114</v>
      </c>
      <c r="U651" t="s">
        <v>3028</v>
      </c>
      <c r="V651">
        <v>2017</v>
      </c>
      <c r="W651">
        <v>2021</v>
      </c>
      <c r="X651" t="s">
        <v>1170</v>
      </c>
      <c r="Y651" t="s">
        <v>3029</v>
      </c>
      <c r="Z651">
        <v>2017</v>
      </c>
      <c r="AB651" t="s">
        <v>999</v>
      </c>
    </row>
    <row r="652" spans="1:28" x14ac:dyDescent="0.25">
      <c r="A652" t="s">
        <v>107</v>
      </c>
      <c r="B652" t="s">
        <v>3030</v>
      </c>
      <c r="C652" t="s">
        <v>992</v>
      </c>
      <c r="D652" t="s">
        <v>346</v>
      </c>
      <c r="E652" t="s">
        <v>347</v>
      </c>
      <c r="F652" t="s">
        <v>347</v>
      </c>
      <c r="G652" t="s">
        <v>513</v>
      </c>
      <c r="H652" t="s">
        <v>514</v>
      </c>
      <c r="I652" t="s">
        <v>539</v>
      </c>
      <c r="J652" t="s">
        <v>540</v>
      </c>
      <c r="K652">
        <v>300</v>
      </c>
      <c r="L652">
        <v>-2</v>
      </c>
      <c r="M652" t="s">
        <v>1003</v>
      </c>
      <c r="N652">
        <v>63.881100000000004</v>
      </c>
      <c r="O652">
        <v>-145.75139999999999</v>
      </c>
      <c r="P652">
        <v>529</v>
      </c>
      <c r="Q652">
        <v>7</v>
      </c>
      <c r="R652">
        <v>2017</v>
      </c>
      <c r="S652">
        <v>2023</v>
      </c>
      <c r="T652" t="s">
        <v>2114</v>
      </c>
      <c r="U652" t="s">
        <v>3031</v>
      </c>
      <c r="V652">
        <v>2017</v>
      </c>
      <c r="W652">
        <v>2023</v>
      </c>
      <c r="X652" t="s">
        <v>2114</v>
      </c>
      <c r="Y652" t="s">
        <v>3032</v>
      </c>
      <c r="Z652">
        <v>2017</v>
      </c>
      <c r="AB652" t="s">
        <v>995</v>
      </c>
    </row>
    <row r="653" spans="1:28" x14ac:dyDescent="0.25">
      <c r="A653" t="s">
        <v>108</v>
      </c>
      <c r="B653" t="s">
        <v>3033</v>
      </c>
      <c r="C653" t="s">
        <v>992</v>
      </c>
      <c r="D653" t="s">
        <v>346</v>
      </c>
      <c r="E653" t="s">
        <v>347</v>
      </c>
      <c r="F653" t="s">
        <v>347</v>
      </c>
      <c r="G653" t="s">
        <v>479</v>
      </c>
      <c r="H653" t="s">
        <v>480</v>
      </c>
      <c r="I653" t="s">
        <v>360</v>
      </c>
      <c r="J653" t="s">
        <v>361</v>
      </c>
      <c r="K653">
        <v>1372</v>
      </c>
      <c r="L653">
        <v>17.600000000000001</v>
      </c>
      <c r="M653" t="s">
        <v>1003</v>
      </c>
      <c r="N653">
        <v>32.541699999999999</v>
      </c>
      <c r="O653">
        <v>-87.803899999999999</v>
      </c>
      <c r="P653">
        <v>22</v>
      </c>
      <c r="Q653">
        <v>7</v>
      </c>
      <c r="R653">
        <v>2017</v>
      </c>
      <c r="S653">
        <v>2023</v>
      </c>
      <c r="T653" t="s">
        <v>2114</v>
      </c>
      <c r="U653" t="s">
        <v>3034</v>
      </c>
      <c r="V653">
        <v>2017</v>
      </c>
      <c r="W653">
        <v>2021</v>
      </c>
      <c r="X653" t="s">
        <v>1170</v>
      </c>
      <c r="Y653" t="s">
        <v>3035</v>
      </c>
      <c r="Z653">
        <v>2017</v>
      </c>
      <c r="AB653" t="s">
        <v>995</v>
      </c>
    </row>
    <row r="654" spans="1:28" x14ac:dyDescent="0.25">
      <c r="A654" t="s">
        <v>109</v>
      </c>
      <c r="B654" t="s">
        <v>3036</v>
      </c>
      <c r="C654" t="s">
        <v>992</v>
      </c>
      <c r="D654" t="s">
        <v>346</v>
      </c>
      <c r="E654" t="s">
        <v>347</v>
      </c>
      <c r="F654" t="s">
        <v>347</v>
      </c>
      <c r="G654" t="s">
        <v>446</v>
      </c>
      <c r="H654" t="s">
        <v>447</v>
      </c>
      <c r="I654" t="s">
        <v>360</v>
      </c>
      <c r="J654" t="s">
        <v>361</v>
      </c>
      <c r="K654">
        <v>1216.0899999999999</v>
      </c>
      <c r="L654">
        <v>22.5</v>
      </c>
      <c r="M654" t="s">
        <v>1003</v>
      </c>
      <c r="N654">
        <v>28.125</v>
      </c>
      <c r="O654">
        <v>-81.436199999999999</v>
      </c>
      <c r="P654">
        <v>15</v>
      </c>
      <c r="Q654">
        <v>7</v>
      </c>
      <c r="R654">
        <v>2017</v>
      </c>
      <c r="S654">
        <v>2023</v>
      </c>
      <c r="T654" t="s">
        <v>2114</v>
      </c>
      <c r="U654" t="s">
        <v>3037</v>
      </c>
      <c r="V654">
        <v>2017</v>
      </c>
      <c r="W654">
        <v>2021</v>
      </c>
      <c r="X654" t="s">
        <v>1170</v>
      </c>
      <c r="Y654" t="s">
        <v>3038</v>
      </c>
      <c r="Z654">
        <v>2017</v>
      </c>
      <c r="AB654" t="s">
        <v>995</v>
      </c>
    </row>
    <row r="655" spans="1:28" x14ac:dyDescent="0.25">
      <c r="A655" t="s">
        <v>110</v>
      </c>
      <c r="B655" t="s">
        <v>3039</v>
      </c>
      <c r="C655" t="s">
        <v>992</v>
      </c>
      <c r="D655" t="s">
        <v>346</v>
      </c>
      <c r="E655" t="s">
        <v>347</v>
      </c>
      <c r="F655" t="s">
        <v>347</v>
      </c>
      <c r="G655" t="s">
        <v>428</v>
      </c>
      <c r="H655" t="s">
        <v>429</v>
      </c>
      <c r="I655" t="s">
        <v>360</v>
      </c>
      <c r="J655" t="s">
        <v>361</v>
      </c>
      <c r="K655">
        <v>1375</v>
      </c>
      <c r="L655">
        <v>13.1</v>
      </c>
      <c r="M655" t="s">
        <v>1003</v>
      </c>
      <c r="N655">
        <v>35.689</v>
      </c>
      <c r="O655">
        <v>-83.501900000000006</v>
      </c>
      <c r="P655">
        <v>579</v>
      </c>
      <c r="Q655">
        <v>7</v>
      </c>
      <c r="R655">
        <v>2017</v>
      </c>
      <c r="S655">
        <v>2023</v>
      </c>
      <c r="T655" t="s">
        <v>2114</v>
      </c>
      <c r="U655" t="s">
        <v>3040</v>
      </c>
      <c r="V655">
        <v>2017</v>
      </c>
      <c r="W655">
        <v>2021</v>
      </c>
      <c r="X655" t="s">
        <v>1170</v>
      </c>
      <c r="Y655" t="s">
        <v>3041</v>
      </c>
      <c r="Z655">
        <v>2017</v>
      </c>
      <c r="AB655" t="s">
        <v>995</v>
      </c>
    </row>
    <row r="656" spans="1:28" x14ac:dyDescent="0.25">
      <c r="A656" t="s">
        <v>111</v>
      </c>
      <c r="B656" t="s">
        <v>3042</v>
      </c>
      <c r="C656" t="s">
        <v>992</v>
      </c>
      <c r="D656" t="s">
        <v>346</v>
      </c>
      <c r="E656" t="s">
        <v>347</v>
      </c>
      <c r="F656" t="s">
        <v>347</v>
      </c>
      <c r="G656" t="s">
        <v>428</v>
      </c>
      <c r="H656" t="s">
        <v>429</v>
      </c>
      <c r="I656" t="s">
        <v>481</v>
      </c>
      <c r="J656" t="s">
        <v>482</v>
      </c>
      <c r="K656">
        <v>1071</v>
      </c>
      <c r="L656">
        <v>6.62</v>
      </c>
      <c r="M656" t="s">
        <v>1003</v>
      </c>
      <c r="N656">
        <v>42.536900000000003</v>
      </c>
      <c r="O656">
        <v>-72.172700000000006</v>
      </c>
      <c r="P656">
        <v>351</v>
      </c>
      <c r="Q656">
        <v>7</v>
      </c>
      <c r="R656">
        <v>2017</v>
      </c>
      <c r="S656">
        <v>2023</v>
      </c>
      <c r="T656" t="s">
        <v>2114</v>
      </c>
      <c r="U656" t="s">
        <v>3043</v>
      </c>
      <c r="V656">
        <v>2017</v>
      </c>
      <c r="W656">
        <v>2021</v>
      </c>
      <c r="X656" t="s">
        <v>1170</v>
      </c>
      <c r="Y656" t="s">
        <v>3044</v>
      </c>
      <c r="Z656">
        <v>2017</v>
      </c>
      <c r="AB656" t="s">
        <v>995</v>
      </c>
    </row>
    <row r="657" spans="1:28" x14ac:dyDescent="0.25">
      <c r="A657" t="s">
        <v>112</v>
      </c>
      <c r="B657" t="s">
        <v>3045</v>
      </c>
      <c r="C657" t="s">
        <v>992</v>
      </c>
      <c r="D657" t="s">
        <v>346</v>
      </c>
      <c r="E657" t="s">
        <v>347</v>
      </c>
      <c r="F657" t="s">
        <v>347</v>
      </c>
      <c r="G657" t="s">
        <v>581</v>
      </c>
      <c r="H657" t="s">
        <v>582</v>
      </c>
      <c r="I657" t="s">
        <v>680</v>
      </c>
      <c r="J657" t="s">
        <v>681</v>
      </c>
      <c r="K657">
        <v>320</v>
      </c>
      <c r="L657">
        <v>-4</v>
      </c>
      <c r="M657" t="s">
        <v>1003</v>
      </c>
      <c r="N657">
        <v>63.875700000000002</v>
      </c>
      <c r="O657">
        <v>-149.2133</v>
      </c>
      <c r="P657">
        <v>705</v>
      </c>
      <c r="Q657">
        <v>7</v>
      </c>
      <c r="R657">
        <v>2017</v>
      </c>
      <c r="S657">
        <v>2023</v>
      </c>
      <c r="T657" t="s">
        <v>2114</v>
      </c>
      <c r="U657" t="s">
        <v>3046</v>
      </c>
      <c r="V657">
        <v>2017</v>
      </c>
      <c r="W657">
        <v>2021</v>
      </c>
      <c r="X657" t="s">
        <v>1170</v>
      </c>
      <c r="Y657" t="s">
        <v>3047</v>
      </c>
      <c r="Z657">
        <v>2017</v>
      </c>
      <c r="AB657" t="s">
        <v>999</v>
      </c>
    </row>
    <row r="658" spans="1:28" x14ac:dyDescent="0.25">
      <c r="A658" t="s">
        <v>113</v>
      </c>
      <c r="B658" t="s">
        <v>3048</v>
      </c>
      <c r="C658" t="s">
        <v>992</v>
      </c>
      <c r="D658" t="s">
        <v>346</v>
      </c>
      <c r="E658" t="s">
        <v>347</v>
      </c>
      <c r="F658" t="s">
        <v>347</v>
      </c>
      <c r="G658" t="s">
        <v>513</v>
      </c>
      <c r="H658" t="s">
        <v>514</v>
      </c>
      <c r="I658" t="s">
        <v>360</v>
      </c>
      <c r="J658" t="s">
        <v>361</v>
      </c>
      <c r="K658">
        <v>1307.97</v>
      </c>
      <c r="L658">
        <v>19.2</v>
      </c>
      <c r="M658" t="s">
        <v>1003</v>
      </c>
      <c r="N658">
        <v>31.194800000000001</v>
      </c>
      <c r="O658">
        <v>-84.468599999999995</v>
      </c>
      <c r="P658">
        <v>44</v>
      </c>
      <c r="Q658">
        <v>7</v>
      </c>
      <c r="R658">
        <v>2017</v>
      </c>
      <c r="S658">
        <v>2023</v>
      </c>
      <c r="T658" t="s">
        <v>2114</v>
      </c>
      <c r="U658" t="s">
        <v>3049</v>
      </c>
      <c r="V658">
        <v>2017</v>
      </c>
      <c r="W658">
        <v>2021</v>
      </c>
      <c r="X658" t="s">
        <v>1170</v>
      </c>
      <c r="Y658" t="s">
        <v>3050</v>
      </c>
      <c r="Z658">
        <v>2017</v>
      </c>
      <c r="AB658" t="s">
        <v>995</v>
      </c>
    </row>
    <row r="659" spans="1:28" x14ac:dyDescent="0.25">
      <c r="A659" t="s">
        <v>114</v>
      </c>
      <c r="B659" t="s">
        <v>3051</v>
      </c>
      <c r="C659" t="s">
        <v>992</v>
      </c>
      <c r="D659" t="s">
        <v>346</v>
      </c>
      <c r="E659" t="s">
        <v>347</v>
      </c>
      <c r="F659" t="s">
        <v>347</v>
      </c>
      <c r="G659" t="s">
        <v>581</v>
      </c>
      <c r="H659" t="s">
        <v>582</v>
      </c>
      <c r="I659" t="s">
        <v>913</v>
      </c>
      <c r="J659" t="s">
        <v>914</v>
      </c>
      <c r="K659">
        <v>271.33</v>
      </c>
      <c r="L659">
        <v>15.7</v>
      </c>
      <c r="M659" t="s">
        <v>1003</v>
      </c>
      <c r="N659">
        <v>32.590699999999998</v>
      </c>
      <c r="O659">
        <v>-106.8425</v>
      </c>
      <c r="P659">
        <v>1329</v>
      </c>
      <c r="Q659">
        <v>7</v>
      </c>
      <c r="R659">
        <v>2017</v>
      </c>
      <c r="S659">
        <v>2023</v>
      </c>
      <c r="T659" t="s">
        <v>2114</v>
      </c>
      <c r="U659" t="s">
        <v>3052</v>
      </c>
      <c r="V659">
        <v>2017</v>
      </c>
      <c r="W659">
        <v>2023</v>
      </c>
      <c r="X659" t="s">
        <v>2114</v>
      </c>
      <c r="Y659" t="s">
        <v>3053</v>
      </c>
      <c r="Z659">
        <v>2017</v>
      </c>
      <c r="AB659" t="s">
        <v>995</v>
      </c>
    </row>
    <row r="660" spans="1:28" x14ac:dyDescent="0.25">
      <c r="A660" t="s">
        <v>115</v>
      </c>
      <c r="B660" t="s">
        <v>3054</v>
      </c>
      <c r="C660" t="s">
        <v>992</v>
      </c>
      <c r="D660" t="s">
        <v>346</v>
      </c>
      <c r="E660" t="s">
        <v>347</v>
      </c>
      <c r="F660" t="s">
        <v>347</v>
      </c>
      <c r="G660" t="s">
        <v>367</v>
      </c>
      <c r="H660" t="s">
        <v>368</v>
      </c>
      <c r="I660" t="s">
        <v>360</v>
      </c>
      <c r="J660" t="s">
        <v>361</v>
      </c>
      <c r="K660">
        <v>850.63</v>
      </c>
      <c r="L660">
        <v>12.7</v>
      </c>
      <c r="M660" t="s">
        <v>1003</v>
      </c>
      <c r="N660">
        <v>39.110399999999998</v>
      </c>
      <c r="O660">
        <v>-96.612899999999996</v>
      </c>
      <c r="P660">
        <v>1329</v>
      </c>
      <c r="Q660">
        <v>7</v>
      </c>
      <c r="R660">
        <v>2017</v>
      </c>
      <c r="S660">
        <v>2023</v>
      </c>
      <c r="T660" t="s">
        <v>2114</v>
      </c>
      <c r="U660" t="s">
        <v>3055</v>
      </c>
      <c r="V660">
        <v>2017</v>
      </c>
      <c r="W660">
        <v>2021</v>
      </c>
      <c r="X660" t="s">
        <v>1170</v>
      </c>
      <c r="Y660" t="s">
        <v>3056</v>
      </c>
      <c r="Z660">
        <v>2017</v>
      </c>
      <c r="AB660" t="s">
        <v>995</v>
      </c>
    </row>
    <row r="661" spans="1:28" x14ac:dyDescent="0.25">
      <c r="A661" t="s">
        <v>116</v>
      </c>
      <c r="B661" t="s">
        <v>3057</v>
      </c>
      <c r="C661" t="s">
        <v>992</v>
      </c>
      <c r="D661" t="s">
        <v>346</v>
      </c>
      <c r="E661" t="s">
        <v>347</v>
      </c>
      <c r="F661" t="s">
        <v>347</v>
      </c>
      <c r="G661" t="s">
        <v>367</v>
      </c>
      <c r="H661" t="s">
        <v>368</v>
      </c>
      <c r="I661" t="s">
        <v>360</v>
      </c>
      <c r="J661" t="s">
        <v>361</v>
      </c>
      <c r="K661">
        <v>870.38</v>
      </c>
      <c r="L661">
        <v>12.4</v>
      </c>
      <c r="M661" t="s">
        <v>1003</v>
      </c>
      <c r="N661">
        <v>39.1008</v>
      </c>
      <c r="O661">
        <v>-96.563100000000006</v>
      </c>
      <c r="P661">
        <v>381</v>
      </c>
      <c r="Q661">
        <v>7</v>
      </c>
      <c r="R661">
        <v>2017</v>
      </c>
      <c r="S661">
        <v>2023</v>
      </c>
      <c r="T661" t="s">
        <v>2114</v>
      </c>
      <c r="U661" t="s">
        <v>3058</v>
      </c>
      <c r="V661">
        <v>2017</v>
      </c>
      <c r="W661">
        <v>2021</v>
      </c>
      <c r="X661" t="s">
        <v>1170</v>
      </c>
      <c r="Y661" t="s">
        <v>3059</v>
      </c>
      <c r="Z661">
        <v>2017</v>
      </c>
      <c r="AB661" t="s">
        <v>995</v>
      </c>
    </row>
    <row r="662" spans="1:28" x14ac:dyDescent="0.25">
      <c r="A662" t="s">
        <v>3060</v>
      </c>
      <c r="B662" t="s">
        <v>3061</v>
      </c>
      <c r="C662" t="s">
        <v>992</v>
      </c>
      <c r="D662" t="s">
        <v>346</v>
      </c>
      <c r="E662" t="s">
        <v>347</v>
      </c>
      <c r="F662" t="s">
        <v>348</v>
      </c>
      <c r="G662" t="s">
        <v>428</v>
      </c>
      <c r="H662" t="s">
        <v>429</v>
      </c>
      <c r="I662" t="s">
        <v>360</v>
      </c>
      <c r="J662" t="s">
        <v>361</v>
      </c>
      <c r="K662">
        <v>1386.24</v>
      </c>
      <c r="L662">
        <v>18.100000000000001</v>
      </c>
      <c r="M662" t="s">
        <v>1003</v>
      </c>
      <c r="N662">
        <v>31.853899999999999</v>
      </c>
      <c r="O662">
        <v>-88.161199999999994</v>
      </c>
      <c r="P662">
        <v>20</v>
      </c>
      <c r="Q662">
        <v>7</v>
      </c>
      <c r="R662">
        <v>2017</v>
      </c>
      <c r="S662">
        <v>2023</v>
      </c>
      <c r="T662" t="s">
        <v>2114</v>
      </c>
      <c r="U662" t="s">
        <v>3062</v>
      </c>
      <c r="Z662">
        <v>2017</v>
      </c>
      <c r="AB662" t="s">
        <v>995</v>
      </c>
    </row>
    <row r="663" spans="1:28" x14ac:dyDescent="0.25">
      <c r="A663" t="s">
        <v>117</v>
      </c>
      <c r="B663" t="s">
        <v>3063</v>
      </c>
      <c r="C663" t="s">
        <v>992</v>
      </c>
      <c r="D663" t="s">
        <v>346</v>
      </c>
      <c r="E663" t="s">
        <v>347</v>
      </c>
      <c r="F663" t="s">
        <v>347</v>
      </c>
      <c r="G663" t="s">
        <v>581</v>
      </c>
      <c r="H663" t="s">
        <v>582</v>
      </c>
      <c r="I663" t="s">
        <v>913</v>
      </c>
      <c r="J663" t="s">
        <v>914</v>
      </c>
      <c r="K663">
        <v>319.45999999999998</v>
      </c>
      <c r="L663">
        <v>10.1</v>
      </c>
      <c r="M663" t="s">
        <v>1003</v>
      </c>
      <c r="N663">
        <v>38.2483</v>
      </c>
      <c r="O663">
        <v>-109.3883</v>
      </c>
      <c r="P663">
        <v>1767</v>
      </c>
      <c r="Q663">
        <v>7</v>
      </c>
      <c r="R663">
        <v>2017</v>
      </c>
      <c r="S663">
        <v>2023</v>
      </c>
      <c r="T663" t="s">
        <v>2114</v>
      </c>
      <c r="U663" t="s">
        <v>3064</v>
      </c>
      <c r="V663">
        <v>2017</v>
      </c>
      <c r="W663">
        <v>2021</v>
      </c>
      <c r="X663" t="s">
        <v>1170</v>
      </c>
      <c r="Y663" t="s">
        <v>3065</v>
      </c>
      <c r="Z663">
        <v>2017</v>
      </c>
      <c r="AB663" t="s">
        <v>999</v>
      </c>
    </row>
    <row r="664" spans="1:28" x14ac:dyDescent="0.25">
      <c r="A664" t="s">
        <v>118</v>
      </c>
      <c r="B664" t="s">
        <v>3066</v>
      </c>
      <c r="C664" t="s">
        <v>992</v>
      </c>
      <c r="D664" t="s">
        <v>346</v>
      </c>
      <c r="E664" t="s">
        <v>347</v>
      </c>
      <c r="F664" t="s">
        <v>347</v>
      </c>
      <c r="G664" t="s">
        <v>428</v>
      </c>
      <c r="H664" t="s">
        <v>429</v>
      </c>
      <c r="I664" t="s">
        <v>481</v>
      </c>
      <c r="J664" t="s">
        <v>482</v>
      </c>
      <c r="K664">
        <v>1227.82</v>
      </c>
      <c r="L664">
        <v>8.8000000000000007</v>
      </c>
      <c r="M664" t="s">
        <v>1003</v>
      </c>
      <c r="N664">
        <v>37.378300000000003</v>
      </c>
      <c r="O664">
        <v>-80.524799999999999</v>
      </c>
      <c r="P664">
        <v>1126</v>
      </c>
      <c r="Q664">
        <v>7</v>
      </c>
      <c r="R664">
        <v>2017</v>
      </c>
      <c r="S664">
        <v>2023</v>
      </c>
      <c r="T664" t="s">
        <v>2114</v>
      </c>
      <c r="U664" t="s">
        <v>3067</v>
      </c>
      <c r="V664">
        <v>2017</v>
      </c>
      <c r="W664">
        <v>2021</v>
      </c>
      <c r="X664" t="s">
        <v>1170</v>
      </c>
      <c r="Y664" t="s">
        <v>3068</v>
      </c>
      <c r="Z664">
        <v>2017</v>
      </c>
      <c r="AB664" t="s">
        <v>995</v>
      </c>
    </row>
    <row r="665" spans="1:28" x14ac:dyDescent="0.25">
      <c r="A665" t="s">
        <v>119</v>
      </c>
      <c r="B665" t="s">
        <v>3069</v>
      </c>
      <c r="C665" t="s">
        <v>992</v>
      </c>
      <c r="D665" t="s">
        <v>346</v>
      </c>
      <c r="E665" t="s">
        <v>347</v>
      </c>
      <c r="F665" t="s">
        <v>347</v>
      </c>
      <c r="G665" t="s">
        <v>367</v>
      </c>
      <c r="H665" t="s">
        <v>368</v>
      </c>
      <c r="I665" t="s">
        <v>481</v>
      </c>
      <c r="J665" t="s">
        <v>482</v>
      </c>
      <c r="K665">
        <v>456.51</v>
      </c>
      <c r="L665">
        <v>5.9</v>
      </c>
      <c r="M665" t="s">
        <v>1003</v>
      </c>
      <c r="N665">
        <v>46.7697</v>
      </c>
      <c r="O665">
        <v>-100.91540000000001</v>
      </c>
      <c r="P665">
        <v>578</v>
      </c>
      <c r="Q665">
        <v>7</v>
      </c>
      <c r="R665">
        <v>2017</v>
      </c>
      <c r="S665">
        <v>2023</v>
      </c>
      <c r="T665" t="s">
        <v>2114</v>
      </c>
      <c r="U665" t="s">
        <v>3070</v>
      </c>
      <c r="V665">
        <v>2017</v>
      </c>
      <c r="W665">
        <v>2021</v>
      </c>
      <c r="X665" t="s">
        <v>1170</v>
      </c>
      <c r="Y665" t="s">
        <v>3071</v>
      </c>
      <c r="Z665">
        <v>2017</v>
      </c>
      <c r="AB665" t="s">
        <v>999</v>
      </c>
    </row>
    <row r="666" spans="1:28" x14ac:dyDescent="0.25">
      <c r="A666" t="s">
        <v>120</v>
      </c>
      <c r="B666" t="s">
        <v>3072</v>
      </c>
      <c r="C666" t="s">
        <v>992</v>
      </c>
      <c r="D666" t="s">
        <v>346</v>
      </c>
      <c r="E666" t="s">
        <v>347</v>
      </c>
      <c r="F666" t="s">
        <v>347</v>
      </c>
      <c r="G666" t="s">
        <v>581</v>
      </c>
      <c r="H666" t="s">
        <v>582</v>
      </c>
      <c r="I666" t="s">
        <v>481</v>
      </c>
      <c r="J666" t="s">
        <v>482</v>
      </c>
      <c r="K666">
        <v>288.31</v>
      </c>
      <c r="L666">
        <v>9</v>
      </c>
      <c r="M666" t="s">
        <v>1003</v>
      </c>
      <c r="N666">
        <v>40.177599999999998</v>
      </c>
      <c r="O666">
        <v>-112.4524</v>
      </c>
      <c r="P666">
        <v>1685</v>
      </c>
      <c r="Q666">
        <v>7</v>
      </c>
      <c r="R666">
        <v>2017</v>
      </c>
      <c r="S666">
        <v>2023</v>
      </c>
      <c r="T666" t="s">
        <v>2114</v>
      </c>
      <c r="U666" t="s">
        <v>3073</v>
      </c>
      <c r="V666">
        <v>2017</v>
      </c>
      <c r="W666">
        <v>2021</v>
      </c>
      <c r="X666" t="s">
        <v>1170</v>
      </c>
      <c r="Y666" t="s">
        <v>3074</v>
      </c>
      <c r="Z666">
        <v>2017</v>
      </c>
      <c r="AB666" t="s">
        <v>999</v>
      </c>
    </row>
    <row r="667" spans="1:28" x14ac:dyDescent="0.25">
      <c r="A667" t="s">
        <v>3075</v>
      </c>
      <c r="B667" t="s">
        <v>3076</v>
      </c>
      <c r="C667" t="s">
        <v>992</v>
      </c>
      <c r="D667" t="s">
        <v>346</v>
      </c>
      <c r="E667" t="s">
        <v>347</v>
      </c>
      <c r="F667" t="s">
        <v>348</v>
      </c>
      <c r="G667" t="s">
        <v>513</v>
      </c>
      <c r="H667" t="s">
        <v>514</v>
      </c>
      <c r="I667" t="s">
        <v>539</v>
      </c>
      <c r="J667" t="s">
        <v>540</v>
      </c>
      <c r="K667">
        <v>1004.54</v>
      </c>
      <c r="L667">
        <v>0.3</v>
      </c>
      <c r="M667" t="s">
        <v>1003</v>
      </c>
      <c r="N667">
        <v>40.054299999999998</v>
      </c>
      <c r="O667">
        <v>-105.58240000000001</v>
      </c>
      <c r="P667">
        <v>3513</v>
      </c>
      <c r="Q667">
        <v>7</v>
      </c>
      <c r="R667">
        <v>2017</v>
      </c>
      <c r="S667">
        <v>2023</v>
      </c>
      <c r="T667" t="s">
        <v>2114</v>
      </c>
      <c r="U667" t="s">
        <v>3077</v>
      </c>
      <c r="Z667">
        <v>2017</v>
      </c>
      <c r="AB667" t="s">
        <v>999</v>
      </c>
    </row>
    <row r="668" spans="1:28" x14ac:dyDescent="0.25">
      <c r="A668" t="s">
        <v>3078</v>
      </c>
      <c r="B668" t="s">
        <v>3079</v>
      </c>
      <c r="C668" t="s">
        <v>992</v>
      </c>
      <c r="D668" t="s">
        <v>346</v>
      </c>
      <c r="E668" t="s">
        <v>347</v>
      </c>
      <c r="F668" t="s">
        <v>348</v>
      </c>
      <c r="G668" t="s">
        <v>397</v>
      </c>
      <c r="H668" t="s">
        <v>398</v>
      </c>
      <c r="I668" t="s">
        <v>351</v>
      </c>
      <c r="J668" t="s">
        <v>352</v>
      </c>
      <c r="K668">
        <v>2685</v>
      </c>
      <c r="L668">
        <v>13</v>
      </c>
      <c r="M668" t="s">
        <v>1003</v>
      </c>
      <c r="N668">
        <v>19.553100000000001</v>
      </c>
      <c r="O668">
        <v>-155.31729999999999</v>
      </c>
      <c r="P668">
        <v>1685</v>
      </c>
      <c r="Q668">
        <v>5</v>
      </c>
      <c r="R668">
        <v>2019</v>
      </c>
      <c r="S668">
        <v>2023</v>
      </c>
      <c r="T668" t="s">
        <v>1291</v>
      </c>
      <c r="U668" t="s">
        <v>3080</v>
      </c>
      <c r="Z668">
        <v>2019</v>
      </c>
      <c r="AB668" t="s">
        <v>3081</v>
      </c>
    </row>
    <row r="669" spans="1:28" x14ac:dyDescent="0.25">
      <c r="A669" t="s">
        <v>121</v>
      </c>
      <c r="B669" t="s">
        <v>3082</v>
      </c>
      <c r="C669" t="s">
        <v>992</v>
      </c>
      <c r="D669" t="s">
        <v>346</v>
      </c>
      <c r="E669" t="s">
        <v>347</v>
      </c>
      <c r="F669" t="s">
        <v>347</v>
      </c>
      <c r="G669" t="s">
        <v>513</v>
      </c>
      <c r="H669" t="s">
        <v>514</v>
      </c>
      <c r="I669" t="s">
        <v>539</v>
      </c>
      <c r="J669" t="s">
        <v>540</v>
      </c>
      <c r="K669">
        <v>730.59</v>
      </c>
      <c r="L669">
        <v>2.9</v>
      </c>
      <c r="M669" t="s">
        <v>1003</v>
      </c>
      <c r="N669">
        <v>40.2759</v>
      </c>
      <c r="O669">
        <v>-105.5459</v>
      </c>
      <c r="P669">
        <v>2743</v>
      </c>
      <c r="Q669">
        <v>7</v>
      </c>
      <c r="R669">
        <v>2017</v>
      </c>
      <c r="S669">
        <v>2023</v>
      </c>
      <c r="T669" t="s">
        <v>2114</v>
      </c>
      <c r="U669" t="s">
        <v>3083</v>
      </c>
      <c r="V669">
        <v>2017</v>
      </c>
      <c r="W669">
        <v>2021</v>
      </c>
      <c r="X669" t="s">
        <v>1170</v>
      </c>
      <c r="Y669" t="s">
        <v>3084</v>
      </c>
      <c r="Z669">
        <v>2017</v>
      </c>
      <c r="AB669" t="s">
        <v>995</v>
      </c>
    </row>
    <row r="670" spans="1:28" x14ac:dyDescent="0.25">
      <c r="A670" t="s">
        <v>3085</v>
      </c>
      <c r="B670" t="s">
        <v>3086</v>
      </c>
      <c r="C670" t="s">
        <v>992</v>
      </c>
      <c r="D670" t="s">
        <v>346</v>
      </c>
      <c r="E670" t="s">
        <v>347</v>
      </c>
      <c r="F670" t="s">
        <v>348</v>
      </c>
      <c r="G670" t="s">
        <v>428</v>
      </c>
      <c r="H670" t="s">
        <v>429</v>
      </c>
      <c r="I670" t="s">
        <v>360</v>
      </c>
      <c r="J670" t="s">
        <v>361</v>
      </c>
      <c r="K670">
        <v>1340.32</v>
      </c>
      <c r="L670">
        <v>14.4</v>
      </c>
      <c r="M670" t="s">
        <v>1003</v>
      </c>
      <c r="N670">
        <v>35.964100000000002</v>
      </c>
      <c r="O670">
        <v>-84.282600000000002</v>
      </c>
      <c r="P670">
        <v>334</v>
      </c>
      <c r="Q670">
        <v>7</v>
      </c>
      <c r="R670">
        <v>2017</v>
      </c>
      <c r="S670">
        <v>2023</v>
      </c>
      <c r="T670" t="s">
        <v>2114</v>
      </c>
      <c r="U670" t="s">
        <v>3087</v>
      </c>
      <c r="Z670">
        <v>2017</v>
      </c>
      <c r="AB670" t="s">
        <v>995</v>
      </c>
    </row>
    <row r="671" spans="1:28" x14ac:dyDescent="0.25">
      <c r="A671" t="s">
        <v>122</v>
      </c>
      <c r="B671" t="s">
        <v>3088</v>
      </c>
      <c r="C671" t="s">
        <v>992</v>
      </c>
      <c r="D671" t="s">
        <v>346</v>
      </c>
      <c r="E671" t="s">
        <v>347</v>
      </c>
      <c r="F671" t="s">
        <v>347</v>
      </c>
      <c r="G671" t="s">
        <v>513</v>
      </c>
      <c r="H671" t="s">
        <v>514</v>
      </c>
      <c r="I671" t="s">
        <v>360</v>
      </c>
      <c r="J671" t="s">
        <v>361</v>
      </c>
      <c r="K671">
        <v>1302.0899999999999</v>
      </c>
      <c r="L671">
        <v>20.9</v>
      </c>
      <c r="M671" t="s">
        <v>1003</v>
      </c>
      <c r="N671">
        <v>29.689299999999999</v>
      </c>
      <c r="O671">
        <v>-81.993399999999994</v>
      </c>
      <c r="P671">
        <v>45</v>
      </c>
      <c r="Q671">
        <v>7</v>
      </c>
      <c r="R671">
        <v>2017</v>
      </c>
      <c r="S671">
        <v>2023</v>
      </c>
      <c r="T671" t="s">
        <v>2114</v>
      </c>
      <c r="U671" t="s">
        <v>3089</v>
      </c>
      <c r="V671">
        <v>2017</v>
      </c>
      <c r="W671">
        <v>2021</v>
      </c>
      <c r="X671" t="s">
        <v>1170</v>
      </c>
      <c r="Y671" t="s">
        <v>3090</v>
      </c>
      <c r="Z671">
        <v>2016</v>
      </c>
      <c r="AB671" t="s">
        <v>995</v>
      </c>
    </row>
    <row r="672" spans="1:28" x14ac:dyDescent="0.25">
      <c r="A672" t="s">
        <v>123</v>
      </c>
      <c r="B672" t="s">
        <v>3091</v>
      </c>
      <c r="C672" t="s">
        <v>992</v>
      </c>
      <c r="D672" t="s">
        <v>346</v>
      </c>
      <c r="E672" t="s">
        <v>347</v>
      </c>
      <c r="F672" t="s">
        <v>347</v>
      </c>
      <c r="G672" t="s">
        <v>428</v>
      </c>
      <c r="H672" t="s">
        <v>429</v>
      </c>
      <c r="I672" t="s">
        <v>360</v>
      </c>
      <c r="J672" t="s">
        <v>361</v>
      </c>
      <c r="K672">
        <v>1125.5</v>
      </c>
      <c r="L672">
        <v>11.6</v>
      </c>
      <c r="M672" t="s">
        <v>1003</v>
      </c>
      <c r="N672">
        <v>38.892899999999997</v>
      </c>
      <c r="O672">
        <v>-78.139499999999998</v>
      </c>
      <c r="P672">
        <v>361</v>
      </c>
      <c r="Q672">
        <v>8</v>
      </c>
      <c r="R672">
        <v>2016</v>
      </c>
      <c r="S672">
        <v>2023</v>
      </c>
      <c r="T672" t="s">
        <v>2133</v>
      </c>
      <c r="U672" t="s">
        <v>3092</v>
      </c>
      <c r="V672">
        <v>2019</v>
      </c>
      <c r="W672">
        <v>2021</v>
      </c>
      <c r="X672" t="s">
        <v>1323</v>
      </c>
      <c r="Y672" t="s">
        <v>3093</v>
      </c>
      <c r="Z672">
        <v>2016</v>
      </c>
      <c r="AB672" t="s">
        <v>995</v>
      </c>
    </row>
    <row r="673" spans="1:28" x14ac:dyDescent="0.25">
      <c r="A673" t="s">
        <v>124</v>
      </c>
      <c r="B673" t="s">
        <v>3094</v>
      </c>
      <c r="C673" t="s">
        <v>992</v>
      </c>
      <c r="D673" t="s">
        <v>346</v>
      </c>
      <c r="E673" t="s">
        <v>347</v>
      </c>
      <c r="F673" t="s">
        <v>347</v>
      </c>
      <c r="G673" t="s">
        <v>428</v>
      </c>
      <c r="H673" t="s">
        <v>429</v>
      </c>
      <c r="I673" t="s">
        <v>360</v>
      </c>
      <c r="J673" t="s">
        <v>361</v>
      </c>
      <c r="K673">
        <v>1074.6500000000001</v>
      </c>
      <c r="L673">
        <v>13.6</v>
      </c>
      <c r="M673" t="s">
        <v>1003</v>
      </c>
      <c r="N673">
        <v>38.890099999999997</v>
      </c>
      <c r="O673">
        <v>-76.56</v>
      </c>
      <c r="P673">
        <v>15</v>
      </c>
      <c r="Q673">
        <v>7</v>
      </c>
      <c r="R673">
        <v>2017</v>
      </c>
      <c r="S673">
        <v>2023</v>
      </c>
      <c r="T673" t="s">
        <v>2114</v>
      </c>
      <c r="U673" t="s">
        <v>3095</v>
      </c>
      <c r="V673">
        <v>2017</v>
      </c>
      <c r="W673">
        <v>2021</v>
      </c>
      <c r="X673" t="s">
        <v>1170</v>
      </c>
      <c r="Y673" t="s">
        <v>3096</v>
      </c>
      <c r="Z673">
        <v>2016</v>
      </c>
      <c r="AB673" t="s">
        <v>995</v>
      </c>
    </row>
    <row r="674" spans="1:28" x14ac:dyDescent="0.25">
      <c r="A674" t="s">
        <v>125</v>
      </c>
      <c r="B674" t="s">
        <v>3097</v>
      </c>
      <c r="C674" t="s">
        <v>992</v>
      </c>
      <c r="D674" t="s">
        <v>346</v>
      </c>
      <c r="E674" t="s">
        <v>347</v>
      </c>
      <c r="F674" t="s">
        <v>347</v>
      </c>
      <c r="G674" t="s">
        <v>1436</v>
      </c>
      <c r="H674" t="s">
        <v>1437</v>
      </c>
      <c r="I674" t="s">
        <v>632</v>
      </c>
      <c r="J674" t="s">
        <v>633</v>
      </c>
      <c r="K674">
        <v>539.62</v>
      </c>
      <c r="L674">
        <v>16.399999999999999</v>
      </c>
      <c r="M674" t="s">
        <v>1003</v>
      </c>
      <c r="N674">
        <v>37.108800000000002</v>
      </c>
      <c r="O674">
        <v>-119.7323</v>
      </c>
      <c r="P674">
        <v>368</v>
      </c>
      <c r="Q674">
        <v>6</v>
      </c>
      <c r="R674">
        <v>2018</v>
      </c>
      <c r="S674">
        <v>2023</v>
      </c>
      <c r="T674" t="s">
        <v>369</v>
      </c>
      <c r="U674" t="s">
        <v>3098</v>
      </c>
      <c r="V674">
        <v>2019</v>
      </c>
      <c r="W674">
        <v>2021</v>
      </c>
      <c r="X674" t="s">
        <v>1323</v>
      </c>
      <c r="Y674" t="s">
        <v>3099</v>
      </c>
      <c r="Z674">
        <v>2018</v>
      </c>
      <c r="AB674" t="s">
        <v>995</v>
      </c>
    </row>
    <row r="675" spans="1:28" x14ac:dyDescent="0.25">
      <c r="A675" t="s">
        <v>126</v>
      </c>
      <c r="B675" t="s">
        <v>3100</v>
      </c>
      <c r="C675" t="s">
        <v>992</v>
      </c>
      <c r="D675" t="s">
        <v>346</v>
      </c>
      <c r="E675" t="s">
        <v>347</v>
      </c>
      <c r="F675" t="s">
        <v>347</v>
      </c>
      <c r="G675" t="s">
        <v>349</v>
      </c>
      <c r="H675" t="s">
        <v>350</v>
      </c>
      <c r="I675" t="s">
        <v>913</v>
      </c>
      <c r="J675" t="s">
        <v>914</v>
      </c>
      <c r="K675">
        <v>432.67</v>
      </c>
      <c r="L675">
        <v>9.6999999999999993</v>
      </c>
      <c r="M675" t="s">
        <v>1003</v>
      </c>
      <c r="N675">
        <v>40.4619</v>
      </c>
      <c r="O675">
        <v>-103.02930000000001</v>
      </c>
      <c r="P675">
        <v>1364</v>
      </c>
      <c r="Q675">
        <v>7</v>
      </c>
      <c r="R675">
        <v>2017</v>
      </c>
      <c r="S675">
        <v>2023</v>
      </c>
      <c r="T675" t="s">
        <v>2114</v>
      </c>
      <c r="U675" t="s">
        <v>3101</v>
      </c>
      <c r="V675">
        <v>2017</v>
      </c>
      <c r="W675">
        <v>2023</v>
      </c>
      <c r="X675" t="s">
        <v>2114</v>
      </c>
      <c r="Y675" t="s">
        <v>3102</v>
      </c>
      <c r="Z675">
        <v>2017</v>
      </c>
      <c r="AB675" t="s">
        <v>995</v>
      </c>
    </row>
    <row r="676" spans="1:28" x14ac:dyDescent="0.25">
      <c r="A676" t="s">
        <v>3103</v>
      </c>
      <c r="B676" t="s">
        <v>3104</v>
      </c>
      <c r="C676" t="s">
        <v>992</v>
      </c>
      <c r="D676" t="s">
        <v>346</v>
      </c>
      <c r="E676" t="s">
        <v>347</v>
      </c>
      <c r="F676" t="s">
        <v>348</v>
      </c>
      <c r="G676" t="s">
        <v>513</v>
      </c>
      <c r="H676" t="s">
        <v>514</v>
      </c>
      <c r="I676" t="s">
        <v>632</v>
      </c>
      <c r="J676" t="s">
        <v>633</v>
      </c>
      <c r="K676">
        <v>900.35</v>
      </c>
      <c r="L676">
        <v>13.4</v>
      </c>
      <c r="M676" t="s">
        <v>1003</v>
      </c>
      <c r="N676">
        <v>37.0334</v>
      </c>
      <c r="O676">
        <v>-119.26220000000001</v>
      </c>
      <c r="P676">
        <v>1160</v>
      </c>
      <c r="Q676">
        <v>7</v>
      </c>
      <c r="R676">
        <v>2017</v>
      </c>
      <c r="S676">
        <v>2023</v>
      </c>
      <c r="T676" t="s">
        <v>2114</v>
      </c>
      <c r="U676" t="s">
        <v>3105</v>
      </c>
      <c r="Z676">
        <v>2017</v>
      </c>
      <c r="AB676" t="s">
        <v>995</v>
      </c>
    </row>
    <row r="677" spans="1:28" x14ac:dyDescent="0.25">
      <c r="A677" t="s">
        <v>127</v>
      </c>
      <c r="B677" t="s">
        <v>3106</v>
      </c>
      <c r="C677" t="s">
        <v>992</v>
      </c>
      <c r="D677" t="s">
        <v>346</v>
      </c>
      <c r="E677" t="s">
        <v>347</v>
      </c>
      <c r="F677" t="s">
        <v>347</v>
      </c>
      <c r="G677" t="s">
        <v>581</v>
      </c>
      <c r="H677" t="s">
        <v>582</v>
      </c>
      <c r="I677" t="s">
        <v>913</v>
      </c>
      <c r="J677" t="s">
        <v>914</v>
      </c>
      <c r="K677">
        <v>346</v>
      </c>
      <c r="L677">
        <v>19.3</v>
      </c>
      <c r="M677" t="s">
        <v>1003</v>
      </c>
      <c r="N677">
        <v>31.910699999999999</v>
      </c>
      <c r="O677">
        <v>-110.8355</v>
      </c>
      <c r="P677">
        <v>983</v>
      </c>
      <c r="Q677">
        <v>7</v>
      </c>
      <c r="R677">
        <v>2017</v>
      </c>
      <c r="S677">
        <v>2023</v>
      </c>
      <c r="T677" t="s">
        <v>2114</v>
      </c>
      <c r="U677" t="s">
        <v>3107</v>
      </c>
      <c r="V677">
        <v>2017</v>
      </c>
      <c r="W677">
        <v>2021</v>
      </c>
      <c r="X677" t="s">
        <v>1170</v>
      </c>
      <c r="Y677" t="s">
        <v>3108</v>
      </c>
      <c r="Z677">
        <v>2017</v>
      </c>
      <c r="AB677" t="s">
        <v>995</v>
      </c>
    </row>
    <row r="678" spans="1:28" x14ac:dyDescent="0.25">
      <c r="A678" t="s">
        <v>128</v>
      </c>
      <c r="B678" t="s">
        <v>3109</v>
      </c>
      <c r="C678" t="s">
        <v>992</v>
      </c>
      <c r="D678" t="s">
        <v>346</v>
      </c>
      <c r="E678" t="s">
        <v>347</v>
      </c>
      <c r="F678" t="s">
        <v>347</v>
      </c>
      <c r="G678" t="s">
        <v>428</v>
      </c>
      <c r="H678" t="s">
        <v>429</v>
      </c>
      <c r="I678" t="s">
        <v>481</v>
      </c>
      <c r="J678" t="s">
        <v>482</v>
      </c>
      <c r="K678">
        <v>797.56</v>
      </c>
      <c r="L678">
        <v>4.8</v>
      </c>
      <c r="M678" t="s">
        <v>1003</v>
      </c>
      <c r="N678">
        <v>45.508899999999997</v>
      </c>
      <c r="O678">
        <v>-89.586399999999998</v>
      </c>
      <c r="P678">
        <v>481</v>
      </c>
      <c r="Q678">
        <v>7</v>
      </c>
      <c r="R678">
        <v>2017</v>
      </c>
      <c r="S678">
        <v>2023</v>
      </c>
      <c r="T678" t="s">
        <v>2114</v>
      </c>
      <c r="U678" t="s">
        <v>3110</v>
      </c>
      <c r="V678">
        <v>2017</v>
      </c>
      <c r="W678">
        <v>2021</v>
      </c>
      <c r="X678" t="s">
        <v>1170</v>
      </c>
      <c r="Y678" t="s">
        <v>3111</v>
      </c>
      <c r="Z678">
        <v>2017</v>
      </c>
      <c r="AB678" t="s">
        <v>995</v>
      </c>
    </row>
    <row r="679" spans="1:28" x14ac:dyDescent="0.25">
      <c r="A679" t="s">
        <v>129</v>
      </c>
      <c r="B679" t="s">
        <v>3112</v>
      </c>
      <c r="C679" t="s">
        <v>992</v>
      </c>
      <c r="D679" t="s">
        <v>346</v>
      </c>
      <c r="E679" t="s">
        <v>347</v>
      </c>
      <c r="F679" t="s">
        <v>347</v>
      </c>
      <c r="G679" t="s">
        <v>513</v>
      </c>
      <c r="H679" t="s">
        <v>514</v>
      </c>
      <c r="I679" t="s">
        <v>360</v>
      </c>
      <c r="J679" t="s">
        <v>361</v>
      </c>
      <c r="K679">
        <v>1382.68</v>
      </c>
      <c r="L679">
        <v>17.2</v>
      </c>
      <c r="M679" t="s">
        <v>1003</v>
      </c>
      <c r="N679">
        <v>32.950499999999998</v>
      </c>
      <c r="O679">
        <v>-87.393299999999996</v>
      </c>
      <c r="P679">
        <v>135</v>
      </c>
      <c r="Q679">
        <v>7</v>
      </c>
      <c r="R679">
        <v>2017</v>
      </c>
      <c r="S679">
        <v>2023</v>
      </c>
      <c r="T679" t="s">
        <v>2114</v>
      </c>
      <c r="U679" t="s">
        <v>3113</v>
      </c>
      <c r="V679">
        <v>2017</v>
      </c>
      <c r="W679">
        <v>2021</v>
      </c>
      <c r="X679" t="s">
        <v>1170</v>
      </c>
      <c r="Y679" t="s">
        <v>3114</v>
      </c>
      <c r="Z679">
        <v>2017</v>
      </c>
      <c r="AB679" t="s">
        <v>995</v>
      </c>
    </row>
    <row r="680" spans="1:28" x14ac:dyDescent="0.25">
      <c r="A680" t="s">
        <v>3115</v>
      </c>
      <c r="B680" t="s">
        <v>3116</v>
      </c>
      <c r="C680" t="s">
        <v>992</v>
      </c>
      <c r="D680" t="s">
        <v>346</v>
      </c>
      <c r="E680" t="s">
        <v>347</v>
      </c>
      <c r="F680" t="s">
        <v>348</v>
      </c>
      <c r="G680" t="s">
        <v>513</v>
      </c>
      <c r="H680" t="s">
        <v>514</v>
      </c>
      <c r="I680" t="s">
        <v>632</v>
      </c>
      <c r="J680" t="s">
        <v>633</v>
      </c>
      <c r="K680">
        <v>1222.5</v>
      </c>
      <c r="L680">
        <v>8</v>
      </c>
      <c r="M680" t="s">
        <v>1003</v>
      </c>
      <c r="N680">
        <v>37.005800000000001</v>
      </c>
      <c r="O680">
        <v>-119.006</v>
      </c>
      <c r="P680">
        <v>2147</v>
      </c>
      <c r="Q680">
        <v>6</v>
      </c>
      <c r="R680">
        <v>2018</v>
      </c>
      <c r="S680">
        <v>2023</v>
      </c>
      <c r="T680" t="s">
        <v>369</v>
      </c>
      <c r="U680" t="s">
        <v>3117</v>
      </c>
      <c r="Z680">
        <v>2018</v>
      </c>
      <c r="AB680" t="s">
        <v>995</v>
      </c>
    </row>
    <row r="681" spans="1:28" x14ac:dyDescent="0.25">
      <c r="A681" t="s">
        <v>3118</v>
      </c>
      <c r="B681" t="s">
        <v>3119</v>
      </c>
      <c r="C681" t="s">
        <v>992</v>
      </c>
      <c r="D681" t="s">
        <v>346</v>
      </c>
      <c r="E681" t="s">
        <v>347</v>
      </c>
      <c r="F681" t="s">
        <v>347</v>
      </c>
      <c r="G681" t="s">
        <v>376</v>
      </c>
      <c r="H681" t="s">
        <v>377</v>
      </c>
      <c r="I681" t="s">
        <v>680</v>
      </c>
      <c r="J681" t="s">
        <v>681</v>
      </c>
      <c r="K681">
        <v>331</v>
      </c>
      <c r="L681">
        <v>-4</v>
      </c>
      <c r="M681" t="s">
        <v>1003</v>
      </c>
      <c r="N681">
        <v>68.661100000000005</v>
      </c>
      <c r="O681">
        <v>-149.37049999999999</v>
      </c>
      <c r="P681">
        <v>843</v>
      </c>
      <c r="Q681">
        <v>7</v>
      </c>
      <c r="R681">
        <v>2017</v>
      </c>
      <c r="S681">
        <v>2023</v>
      </c>
      <c r="T681" t="s">
        <v>2114</v>
      </c>
      <c r="U681" t="s">
        <v>3120</v>
      </c>
      <c r="V681">
        <v>2017</v>
      </c>
      <c r="W681">
        <v>2023</v>
      </c>
      <c r="X681" t="s">
        <v>2114</v>
      </c>
      <c r="Y681" t="s">
        <v>3121</v>
      </c>
      <c r="Z681">
        <v>2017</v>
      </c>
      <c r="AB681" t="s">
        <v>999</v>
      </c>
    </row>
    <row r="682" spans="1:28" x14ac:dyDescent="0.25">
      <c r="A682" t="s">
        <v>130</v>
      </c>
      <c r="B682" t="s">
        <v>3122</v>
      </c>
      <c r="C682" t="s">
        <v>992</v>
      </c>
      <c r="D682" t="s">
        <v>346</v>
      </c>
      <c r="E682" t="s">
        <v>347</v>
      </c>
      <c r="F682" t="s">
        <v>347</v>
      </c>
      <c r="G682" t="s">
        <v>428</v>
      </c>
      <c r="H682" t="s">
        <v>429</v>
      </c>
      <c r="I682" t="s">
        <v>481</v>
      </c>
      <c r="J682" t="s">
        <v>482</v>
      </c>
      <c r="K682">
        <v>797.56</v>
      </c>
      <c r="L682">
        <v>4.8</v>
      </c>
      <c r="M682" t="s">
        <v>1003</v>
      </c>
      <c r="N682">
        <v>45.493699999999997</v>
      </c>
      <c r="O682">
        <v>-89.585700000000003</v>
      </c>
      <c r="P682">
        <v>472</v>
      </c>
      <c r="Q682">
        <v>7</v>
      </c>
      <c r="R682">
        <v>2017</v>
      </c>
      <c r="S682">
        <v>2023</v>
      </c>
      <c r="T682" t="s">
        <v>2114</v>
      </c>
      <c r="U682" t="s">
        <v>3123</v>
      </c>
      <c r="V682">
        <v>2017</v>
      </c>
      <c r="W682">
        <v>2021</v>
      </c>
      <c r="X682" t="s">
        <v>1170</v>
      </c>
      <c r="Y682" t="s">
        <v>3124</v>
      </c>
      <c r="Z682">
        <v>2017</v>
      </c>
      <c r="AB682" t="s">
        <v>995</v>
      </c>
    </row>
    <row r="683" spans="1:28" x14ac:dyDescent="0.25">
      <c r="A683" t="s">
        <v>131</v>
      </c>
      <c r="B683" t="s">
        <v>3125</v>
      </c>
      <c r="C683" t="s">
        <v>992</v>
      </c>
      <c r="D683" t="s">
        <v>346</v>
      </c>
      <c r="E683" t="s">
        <v>347</v>
      </c>
      <c r="F683" t="s">
        <v>347</v>
      </c>
      <c r="G683" t="s">
        <v>428</v>
      </c>
      <c r="H683" t="s">
        <v>429</v>
      </c>
      <c r="I683" t="s">
        <v>360</v>
      </c>
      <c r="J683" t="s">
        <v>361</v>
      </c>
      <c r="K683">
        <v>990.63</v>
      </c>
      <c r="L683">
        <v>12.7</v>
      </c>
      <c r="M683" t="s">
        <v>1003</v>
      </c>
      <c r="N683">
        <v>39.040399999999998</v>
      </c>
      <c r="O683">
        <v>-95.192099999999996</v>
      </c>
      <c r="P683">
        <v>335</v>
      </c>
      <c r="Q683">
        <v>7</v>
      </c>
      <c r="R683">
        <v>2017</v>
      </c>
      <c r="S683">
        <v>2023</v>
      </c>
      <c r="T683" t="s">
        <v>2114</v>
      </c>
      <c r="U683" t="s">
        <v>3126</v>
      </c>
      <c r="V683">
        <v>2017</v>
      </c>
      <c r="W683">
        <v>2021</v>
      </c>
      <c r="X683" t="s">
        <v>1170</v>
      </c>
      <c r="Y683" t="s">
        <v>3127</v>
      </c>
      <c r="Z683">
        <v>2017</v>
      </c>
      <c r="AB683" t="s">
        <v>995</v>
      </c>
    </row>
    <row r="684" spans="1:28" x14ac:dyDescent="0.25">
      <c r="A684" t="s">
        <v>132</v>
      </c>
      <c r="B684" t="s">
        <v>3128</v>
      </c>
      <c r="C684" t="s">
        <v>992</v>
      </c>
      <c r="D684" t="s">
        <v>346</v>
      </c>
      <c r="E684" t="s">
        <v>347</v>
      </c>
      <c r="F684" t="s">
        <v>347</v>
      </c>
      <c r="G684" t="s">
        <v>479</v>
      </c>
      <c r="H684" t="s">
        <v>480</v>
      </c>
      <c r="I684" t="s">
        <v>481</v>
      </c>
      <c r="J684" t="s">
        <v>482</v>
      </c>
      <c r="K684">
        <v>802.3</v>
      </c>
      <c r="L684">
        <v>4.3</v>
      </c>
      <c r="M684" t="s">
        <v>1003</v>
      </c>
      <c r="N684">
        <v>46.233899999999998</v>
      </c>
      <c r="O684">
        <v>-89.537300000000002</v>
      </c>
      <c r="P684">
        <v>518</v>
      </c>
      <c r="Q684">
        <v>7</v>
      </c>
      <c r="R684">
        <v>2017</v>
      </c>
      <c r="S684">
        <v>2023</v>
      </c>
      <c r="T684" t="s">
        <v>2114</v>
      </c>
      <c r="U684" t="s">
        <v>3129</v>
      </c>
      <c r="V684">
        <v>2017</v>
      </c>
      <c r="W684">
        <v>2021</v>
      </c>
      <c r="X684" t="s">
        <v>1170</v>
      </c>
      <c r="Y684" t="s">
        <v>3130</v>
      </c>
      <c r="Z684">
        <v>2017</v>
      </c>
      <c r="AB684" t="s">
        <v>995</v>
      </c>
    </row>
    <row r="685" spans="1:28" x14ac:dyDescent="0.25">
      <c r="A685" t="s">
        <v>133</v>
      </c>
      <c r="B685" t="s">
        <v>3131</v>
      </c>
      <c r="C685" t="s">
        <v>992</v>
      </c>
      <c r="D685" t="s">
        <v>346</v>
      </c>
      <c r="E685" t="s">
        <v>347</v>
      </c>
      <c r="F685" t="s">
        <v>347</v>
      </c>
      <c r="G685" t="s">
        <v>367</v>
      </c>
      <c r="H685" t="s">
        <v>368</v>
      </c>
      <c r="I685" t="s">
        <v>481</v>
      </c>
      <c r="J685" t="s">
        <v>482</v>
      </c>
      <c r="K685">
        <v>493.76</v>
      </c>
      <c r="L685">
        <v>4.9000000000000004</v>
      </c>
      <c r="M685" t="s">
        <v>1003</v>
      </c>
      <c r="N685">
        <v>47.1282</v>
      </c>
      <c r="O685">
        <v>-99.241399999999999</v>
      </c>
      <c r="P685">
        <v>579</v>
      </c>
      <c r="Q685">
        <v>7</v>
      </c>
      <c r="R685">
        <v>2017</v>
      </c>
      <c r="S685">
        <v>2023</v>
      </c>
      <c r="T685" t="s">
        <v>2114</v>
      </c>
      <c r="U685" t="s">
        <v>3132</v>
      </c>
      <c r="V685">
        <v>2017</v>
      </c>
      <c r="W685">
        <v>2023</v>
      </c>
      <c r="X685" t="s">
        <v>2114</v>
      </c>
      <c r="Y685" t="s">
        <v>3133</v>
      </c>
      <c r="Z685">
        <v>2017</v>
      </c>
      <c r="AB685" t="s">
        <v>999</v>
      </c>
    </row>
    <row r="686" spans="1:28" x14ac:dyDescent="0.25">
      <c r="A686" t="s">
        <v>3134</v>
      </c>
      <c r="B686" t="s">
        <v>3135</v>
      </c>
      <c r="C686" t="s">
        <v>992</v>
      </c>
      <c r="D686" t="s">
        <v>346</v>
      </c>
      <c r="E686" t="s">
        <v>347</v>
      </c>
      <c r="F686" t="s">
        <v>348</v>
      </c>
      <c r="G686" t="s">
        <v>513</v>
      </c>
      <c r="H686" t="s">
        <v>514</v>
      </c>
      <c r="I686" t="s">
        <v>573</v>
      </c>
      <c r="J686" t="s">
        <v>574</v>
      </c>
      <c r="K686">
        <v>2225.0100000000002</v>
      </c>
      <c r="L686">
        <v>9.1999999999999993</v>
      </c>
      <c r="M686" t="s">
        <v>1003</v>
      </c>
      <c r="N686">
        <v>45.820500000000003</v>
      </c>
      <c r="O686">
        <v>-121.95189999999999</v>
      </c>
      <c r="P686">
        <v>407</v>
      </c>
      <c r="Q686">
        <v>6</v>
      </c>
      <c r="R686">
        <v>2018</v>
      </c>
      <c r="S686">
        <v>2023</v>
      </c>
      <c r="T686" t="s">
        <v>369</v>
      </c>
      <c r="U686" t="s">
        <v>3136</v>
      </c>
      <c r="Z686">
        <v>2018</v>
      </c>
      <c r="AB686" t="s">
        <v>995</v>
      </c>
    </row>
    <row r="687" spans="1:28" x14ac:dyDescent="0.25">
      <c r="A687" t="s">
        <v>134</v>
      </c>
      <c r="B687" t="s">
        <v>3137</v>
      </c>
      <c r="C687" t="s">
        <v>992</v>
      </c>
      <c r="D687" t="s">
        <v>346</v>
      </c>
      <c r="E687" t="s">
        <v>347</v>
      </c>
      <c r="F687" t="s">
        <v>347</v>
      </c>
      <c r="G687" t="s">
        <v>513</v>
      </c>
      <c r="H687" t="s">
        <v>514</v>
      </c>
      <c r="I687" t="s">
        <v>539</v>
      </c>
      <c r="J687" t="s">
        <v>540</v>
      </c>
      <c r="K687">
        <v>493.44</v>
      </c>
      <c r="L687">
        <v>3.4</v>
      </c>
      <c r="M687" t="s">
        <v>1003</v>
      </c>
      <c r="N687">
        <v>44.953499999999998</v>
      </c>
      <c r="O687">
        <v>-110.5391</v>
      </c>
      <c r="P687">
        <v>2116</v>
      </c>
      <c r="Q687">
        <v>6</v>
      </c>
      <c r="R687">
        <v>2018</v>
      </c>
      <c r="S687">
        <v>2023</v>
      </c>
      <c r="T687" t="s">
        <v>369</v>
      </c>
      <c r="U687" t="s">
        <v>3138</v>
      </c>
      <c r="V687">
        <v>2018</v>
      </c>
      <c r="W687">
        <v>2021</v>
      </c>
      <c r="X687" t="s">
        <v>1469</v>
      </c>
      <c r="Y687" t="s">
        <v>3139</v>
      </c>
      <c r="Z687">
        <v>2018</v>
      </c>
      <c r="AB687" t="s">
        <v>995</v>
      </c>
    </row>
    <row r="688" spans="1:28" x14ac:dyDescent="0.25">
      <c r="A688" t="s">
        <v>3140</v>
      </c>
      <c r="B688" t="s">
        <v>3141</v>
      </c>
      <c r="C688" t="s">
        <v>553</v>
      </c>
      <c r="D688" t="s">
        <v>346</v>
      </c>
      <c r="E688" t="s">
        <v>347</v>
      </c>
      <c r="F688" t="s">
        <v>348</v>
      </c>
      <c r="G688" t="s">
        <v>376</v>
      </c>
      <c r="H688" t="s">
        <v>377</v>
      </c>
      <c r="M688" t="s">
        <v>1003</v>
      </c>
      <c r="N688">
        <v>61.272300000000001</v>
      </c>
      <c r="O688">
        <v>-163.22280000000001</v>
      </c>
      <c r="P688">
        <v>15</v>
      </c>
      <c r="Q688">
        <v>4</v>
      </c>
      <c r="R688">
        <v>2019</v>
      </c>
      <c r="S688">
        <v>2022</v>
      </c>
      <c r="T688" t="s">
        <v>1321</v>
      </c>
      <c r="U688" t="s">
        <v>3142</v>
      </c>
      <c r="Z688">
        <v>2019</v>
      </c>
      <c r="AB688" t="s">
        <v>3143</v>
      </c>
    </row>
    <row r="689" spans="1:28" x14ac:dyDescent="0.25">
      <c r="A689" t="s">
        <v>3144</v>
      </c>
      <c r="B689" t="s">
        <v>3145</v>
      </c>
      <c r="C689" t="s">
        <v>3146</v>
      </c>
      <c r="D689" t="s">
        <v>346</v>
      </c>
      <c r="E689" t="s">
        <v>347</v>
      </c>
      <c r="F689" t="s">
        <v>347</v>
      </c>
      <c r="G689" t="s">
        <v>376</v>
      </c>
      <c r="H689" t="s">
        <v>377</v>
      </c>
      <c r="M689" t="s">
        <v>1003</v>
      </c>
      <c r="N689">
        <v>61.254800000000003</v>
      </c>
      <c r="O689">
        <v>-163.25899999999999</v>
      </c>
      <c r="P689">
        <v>15</v>
      </c>
      <c r="Q689">
        <v>4</v>
      </c>
      <c r="R689">
        <v>2019</v>
      </c>
      <c r="S689">
        <v>2022</v>
      </c>
      <c r="T689" t="s">
        <v>1321</v>
      </c>
      <c r="U689" t="s">
        <v>3147</v>
      </c>
      <c r="V689">
        <v>2019</v>
      </c>
      <c r="W689">
        <v>2022</v>
      </c>
      <c r="X689" t="s">
        <v>1321</v>
      </c>
      <c r="Y689" t="s">
        <v>3148</v>
      </c>
      <c r="Z689">
        <v>2019</v>
      </c>
      <c r="AB689" t="s">
        <v>3143</v>
      </c>
    </row>
    <row r="690" spans="1:28" x14ac:dyDescent="0.25">
      <c r="A690" t="s">
        <v>3149</v>
      </c>
      <c r="B690" t="s">
        <v>3150</v>
      </c>
      <c r="C690" t="s">
        <v>3151</v>
      </c>
      <c r="D690" t="s">
        <v>375</v>
      </c>
      <c r="E690" t="s">
        <v>348</v>
      </c>
      <c r="F690" t="s">
        <v>348</v>
      </c>
      <c r="G690" t="s">
        <v>933</v>
      </c>
      <c r="H690" t="s">
        <v>934</v>
      </c>
      <c r="I690" t="s">
        <v>360</v>
      </c>
      <c r="J690" t="s">
        <v>361</v>
      </c>
      <c r="K690">
        <v>1260</v>
      </c>
      <c r="L690">
        <v>20</v>
      </c>
      <c r="M690" t="s">
        <v>1003</v>
      </c>
      <c r="N690">
        <v>29.789400000000001</v>
      </c>
      <c r="O690">
        <v>-95.3536</v>
      </c>
      <c r="P690">
        <v>14</v>
      </c>
      <c r="Q690">
        <v>0</v>
      </c>
      <c r="Z690">
        <v>2007</v>
      </c>
      <c r="AA690">
        <v>2013</v>
      </c>
    </row>
    <row r="691" spans="1:28" x14ac:dyDescent="0.25">
      <c r="A691" t="s">
        <v>3152</v>
      </c>
      <c r="B691" t="s">
        <v>3153</v>
      </c>
      <c r="C691" t="s">
        <v>1264</v>
      </c>
      <c r="D691" t="s">
        <v>375</v>
      </c>
      <c r="E691" t="s">
        <v>347</v>
      </c>
      <c r="F691" t="s">
        <v>348</v>
      </c>
      <c r="G691" t="s">
        <v>367</v>
      </c>
      <c r="H691" t="s">
        <v>368</v>
      </c>
      <c r="I691" t="s">
        <v>539</v>
      </c>
      <c r="J691" t="s">
        <v>540</v>
      </c>
      <c r="K691">
        <v>275</v>
      </c>
      <c r="L691">
        <v>-2.5</v>
      </c>
      <c r="M691" t="s">
        <v>1003</v>
      </c>
      <c r="N691">
        <v>64.893900000000002</v>
      </c>
      <c r="O691">
        <v>-147.63740000000001</v>
      </c>
      <c r="P691">
        <v>186.9</v>
      </c>
      <c r="Q691">
        <v>3</v>
      </c>
      <c r="R691">
        <v>2021</v>
      </c>
      <c r="S691">
        <v>2023</v>
      </c>
      <c r="T691" t="s">
        <v>592</v>
      </c>
      <c r="U691" t="s">
        <v>3154</v>
      </c>
      <c r="Z691">
        <v>2021</v>
      </c>
      <c r="AB691" t="s">
        <v>3155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B0E0-E538-44D3-8393-96B8DEBA156C}">
  <dimension ref="A1:K77"/>
  <sheetViews>
    <sheetView topLeftCell="A70" workbookViewId="0">
      <selection activeCell="I46" sqref="I46"/>
    </sheetView>
  </sheetViews>
  <sheetFormatPr defaultRowHeight="15" x14ac:dyDescent="0.25"/>
  <cols>
    <col min="9" max="9" width="19.5703125" customWidth="1"/>
  </cols>
  <sheetData>
    <row r="1" spans="1:11" x14ac:dyDescent="0.25">
      <c r="A1" s="76" t="s">
        <v>3422</v>
      </c>
      <c r="B1" s="78" t="s">
        <v>3423</v>
      </c>
      <c r="C1" s="78" t="s">
        <v>3424</v>
      </c>
      <c r="D1" s="78" t="s">
        <v>3425</v>
      </c>
      <c r="E1" s="24" t="s">
        <v>3426</v>
      </c>
      <c r="F1" s="78" t="s">
        <v>3427</v>
      </c>
      <c r="G1" s="78" t="s">
        <v>3428</v>
      </c>
      <c r="H1" s="74" t="s">
        <v>3429</v>
      </c>
    </row>
    <row r="2" spans="1:11" ht="21" x14ac:dyDescent="0.25">
      <c r="A2" s="77"/>
      <c r="B2" s="79"/>
      <c r="C2" s="79"/>
      <c r="D2" s="79"/>
      <c r="E2" s="25" t="s">
        <v>3430</v>
      </c>
      <c r="F2" s="79"/>
      <c r="G2" s="79"/>
      <c r="H2" s="75"/>
      <c r="I2" t="s">
        <v>3431</v>
      </c>
      <c r="J2" t="s">
        <v>3428</v>
      </c>
      <c r="K2" t="s">
        <v>3432</v>
      </c>
    </row>
    <row r="3" spans="1:11" ht="69.75" x14ac:dyDescent="0.25">
      <c r="A3" s="26" t="s">
        <v>3169</v>
      </c>
      <c r="B3" s="27"/>
      <c r="C3" s="27"/>
      <c r="D3" s="27"/>
      <c r="E3" s="28" t="s">
        <v>3433</v>
      </c>
      <c r="F3" s="27"/>
      <c r="G3" s="27"/>
      <c r="H3" s="29"/>
    </row>
    <row r="4" spans="1:11" ht="21" x14ac:dyDescent="0.25">
      <c r="A4" s="26" t="s">
        <v>3434</v>
      </c>
      <c r="B4" s="27"/>
      <c r="C4" s="27"/>
      <c r="D4" s="27"/>
      <c r="E4" s="28" t="s">
        <v>3435</v>
      </c>
      <c r="F4" s="27"/>
      <c r="G4" s="27"/>
      <c r="H4" s="29"/>
      <c r="I4" t="s">
        <v>3436</v>
      </c>
      <c r="J4" t="s">
        <v>3437</v>
      </c>
      <c r="K4">
        <v>2009</v>
      </c>
    </row>
    <row r="5" spans="1:11" ht="68.25" x14ac:dyDescent="0.25">
      <c r="A5" s="30" t="s">
        <v>3438</v>
      </c>
      <c r="B5" s="60" t="s">
        <v>3439</v>
      </c>
      <c r="C5" s="60" t="s">
        <v>3440</v>
      </c>
      <c r="D5" s="60">
        <f>-4 - 46</f>
        <v>-50</v>
      </c>
      <c r="E5" s="31" t="s">
        <v>3441</v>
      </c>
      <c r="F5" s="60" t="s">
        <v>3442</v>
      </c>
      <c r="G5" s="60" t="s">
        <v>3443</v>
      </c>
      <c r="H5" s="52" t="s">
        <v>3444</v>
      </c>
      <c r="I5" s="32">
        <v>45600</v>
      </c>
      <c r="J5" t="s">
        <v>3445</v>
      </c>
      <c r="K5">
        <v>2023</v>
      </c>
    </row>
    <row r="6" spans="1:11" ht="30" x14ac:dyDescent="0.25">
      <c r="A6" s="33" t="s">
        <v>3446</v>
      </c>
      <c r="B6" s="62"/>
      <c r="C6" s="62"/>
      <c r="D6" s="62"/>
      <c r="E6" s="34" t="s">
        <v>3447</v>
      </c>
      <c r="F6" s="62"/>
      <c r="G6" s="62"/>
      <c r="H6" s="53"/>
      <c r="I6" t="s">
        <v>3448</v>
      </c>
    </row>
    <row r="7" spans="1:11" ht="78" x14ac:dyDescent="0.25">
      <c r="A7" s="30" t="s">
        <v>3449</v>
      </c>
      <c r="B7" s="60" t="s">
        <v>3450</v>
      </c>
      <c r="C7" s="60" t="s">
        <v>3451</v>
      </c>
      <c r="D7" s="60">
        <f>-3 - 17</f>
        <v>-20</v>
      </c>
      <c r="E7" s="31" t="s">
        <v>3452</v>
      </c>
      <c r="F7" s="60" t="s">
        <v>3453</v>
      </c>
      <c r="G7" s="60" t="s">
        <v>3454</v>
      </c>
      <c r="H7" s="52" t="s">
        <v>3455</v>
      </c>
      <c r="I7" s="32">
        <v>45600</v>
      </c>
      <c r="J7" t="s">
        <v>3437</v>
      </c>
      <c r="K7">
        <v>2022</v>
      </c>
    </row>
    <row r="8" spans="1:11" ht="19.5" x14ac:dyDescent="0.25">
      <c r="A8" s="33" t="s">
        <v>3456</v>
      </c>
      <c r="B8" s="62"/>
      <c r="C8" s="62"/>
      <c r="D8" s="62"/>
      <c r="E8" s="34" t="s">
        <v>3457</v>
      </c>
      <c r="F8" s="62"/>
      <c r="G8" s="62"/>
      <c r="H8" s="53"/>
      <c r="I8" t="s">
        <v>3458</v>
      </c>
    </row>
    <row r="9" spans="1:11" ht="68.25" x14ac:dyDescent="0.25">
      <c r="A9" s="30" t="s">
        <v>3459</v>
      </c>
      <c r="B9" s="60" t="s">
        <v>3460</v>
      </c>
      <c r="C9" s="60" t="s">
        <v>3461</v>
      </c>
      <c r="D9" s="63">
        <v>11841</v>
      </c>
      <c r="E9" s="31" t="s">
        <v>3462</v>
      </c>
      <c r="F9" s="60" t="s">
        <v>3463</v>
      </c>
      <c r="G9" s="60" t="s">
        <v>3464</v>
      </c>
      <c r="H9" s="52" t="s">
        <v>3465</v>
      </c>
      <c r="I9" s="32">
        <v>45600</v>
      </c>
      <c r="J9" t="s">
        <v>3437</v>
      </c>
      <c r="K9">
        <v>2024</v>
      </c>
    </row>
    <row r="10" spans="1:11" ht="19.5" x14ac:dyDescent="0.25">
      <c r="A10" s="33" t="s">
        <v>3466</v>
      </c>
      <c r="B10" s="62"/>
      <c r="C10" s="62"/>
      <c r="D10" s="65"/>
      <c r="E10" s="34" t="s">
        <v>3467</v>
      </c>
      <c r="F10" s="62"/>
      <c r="G10" s="62"/>
      <c r="H10" s="53"/>
      <c r="I10" t="s">
        <v>3468</v>
      </c>
    </row>
    <row r="11" spans="1:11" ht="58.5" x14ac:dyDescent="0.25">
      <c r="A11" s="30" t="s">
        <v>3170</v>
      </c>
      <c r="B11" s="60" t="s">
        <v>3469</v>
      </c>
      <c r="C11" s="60" t="s">
        <v>3470</v>
      </c>
      <c r="D11" s="63">
        <v>16772</v>
      </c>
      <c r="E11" s="31" t="s">
        <v>3471</v>
      </c>
      <c r="F11" s="60" t="s">
        <v>3472</v>
      </c>
      <c r="G11" s="60" t="s">
        <v>3473</v>
      </c>
      <c r="H11" s="52" t="s">
        <v>3474</v>
      </c>
      <c r="I11" s="32">
        <v>45600</v>
      </c>
      <c r="J11" t="s">
        <v>3437</v>
      </c>
      <c r="K11">
        <v>2024</v>
      </c>
    </row>
    <row r="12" spans="1:11" ht="19.5" x14ac:dyDescent="0.25">
      <c r="A12" s="33" t="s">
        <v>3475</v>
      </c>
      <c r="B12" s="62"/>
      <c r="C12" s="62"/>
      <c r="D12" s="65"/>
      <c r="E12" s="34" t="s">
        <v>3476</v>
      </c>
      <c r="F12" s="62"/>
      <c r="G12" s="62"/>
      <c r="H12" s="53"/>
      <c r="I12" t="s">
        <v>3477</v>
      </c>
    </row>
    <row r="13" spans="1:11" ht="58.5" x14ac:dyDescent="0.25">
      <c r="A13" s="30" t="s">
        <v>3478</v>
      </c>
      <c r="B13" s="60" t="s">
        <v>3479</v>
      </c>
      <c r="C13" s="60" t="s">
        <v>3480</v>
      </c>
      <c r="D13" s="63">
        <v>14550</v>
      </c>
      <c r="E13" s="31" t="s">
        <v>3481</v>
      </c>
      <c r="F13" s="31" t="s">
        <v>3442</v>
      </c>
      <c r="G13" s="60" t="s">
        <v>3482</v>
      </c>
      <c r="H13" s="52" t="s">
        <v>3483</v>
      </c>
      <c r="I13" s="32">
        <v>45600</v>
      </c>
      <c r="J13" t="s">
        <v>3437</v>
      </c>
      <c r="K13">
        <v>2024</v>
      </c>
    </row>
    <row r="14" spans="1:11" ht="30" x14ac:dyDescent="0.25">
      <c r="A14" s="35" t="s">
        <v>3484</v>
      </c>
      <c r="B14" s="61"/>
      <c r="C14" s="61"/>
      <c r="D14" s="64"/>
      <c r="E14" s="36" t="s">
        <v>3485</v>
      </c>
      <c r="F14" s="36" t="s">
        <v>3486</v>
      </c>
      <c r="G14" s="61"/>
      <c r="H14" s="73"/>
      <c r="I14" t="s">
        <v>3487</v>
      </c>
    </row>
    <row r="15" spans="1:11" x14ac:dyDescent="0.25">
      <c r="A15" s="37"/>
      <c r="B15" s="61"/>
      <c r="C15" s="61"/>
      <c r="D15" s="64"/>
      <c r="E15" s="36"/>
      <c r="F15" s="36"/>
      <c r="G15" s="61"/>
      <c r="H15" s="73"/>
    </row>
    <row r="16" spans="1:11" ht="29.25" x14ac:dyDescent="0.25">
      <c r="A16" s="38"/>
      <c r="B16" s="62"/>
      <c r="C16" s="62"/>
      <c r="D16" s="65"/>
      <c r="E16" s="34"/>
      <c r="F16" s="34" t="s">
        <v>3488</v>
      </c>
      <c r="G16" s="62"/>
      <c r="H16" s="53"/>
    </row>
    <row r="17" spans="1:11" ht="48.75" x14ac:dyDescent="0.25">
      <c r="A17" s="30" t="s">
        <v>3171</v>
      </c>
      <c r="B17" s="60" t="s">
        <v>3489</v>
      </c>
      <c r="C17" s="60" t="s">
        <v>3490</v>
      </c>
      <c r="D17" s="63">
        <v>47178</v>
      </c>
      <c r="E17" s="31" t="s">
        <v>3491</v>
      </c>
      <c r="F17" s="60" t="s">
        <v>3492</v>
      </c>
      <c r="G17" s="60" t="s">
        <v>3493</v>
      </c>
      <c r="H17" s="52" t="s">
        <v>3494</v>
      </c>
      <c r="I17" s="32">
        <v>45600</v>
      </c>
      <c r="J17" t="s">
        <v>3445</v>
      </c>
      <c r="K17">
        <v>2024</v>
      </c>
    </row>
    <row r="18" spans="1:11" ht="30" x14ac:dyDescent="0.25">
      <c r="A18" s="33" t="s">
        <v>3495</v>
      </c>
      <c r="B18" s="62"/>
      <c r="C18" s="62"/>
      <c r="D18" s="65"/>
      <c r="E18" s="34" t="s">
        <v>3496</v>
      </c>
      <c r="F18" s="62"/>
      <c r="G18" s="62"/>
      <c r="H18" s="53"/>
      <c r="I18" t="s">
        <v>3497</v>
      </c>
    </row>
    <row r="19" spans="1:11" ht="117" x14ac:dyDescent="0.25">
      <c r="A19" s="30" t="s">
        <v>3498</v>
      </c>
      <c r="B19" s="60" t="s">
        <v>3499</v>
      </c>
      <c r="C19" s="60" t="s">
        <v>3500</v>
      </c>
      <c r="D19" s="63">
        <v>13850</v>
      </c>
      <c r="E19" s="31" t="s">
        <v>3501</v>
      </c>
      <c r="F19" s="31" t="s">
        <v>3463</v>
      </c>
      <c r="G19" s="60" t="s">
        <v>3502</v>
      </c>
      <c r="H19" s="39" t="s">
        <v>3503</v>
      </c>
      <c r="I19" s="32">
        <v>45600</v>
      </c>
      <c r="J19" t="s">
        <v>3504</v>
      </c>
      <c r="K19">
        <v>2024</v>
      </c>
    </row>
    <row r="20" spans="1:11" ht="30" x14ac:dyDescent="0.25">
      <c r="A20" s="35" t="s">
        <v>3505</v>
      </c>
      <c r="B20" s="61"/>
      <c r="C20" s="61"/>
      <c r="D20" s="64"/>
      <c r="E20" s="36" t="s">
        <v>3506</v>
      </c>
      <c r="F20" s="36"/>
      <c r="G20" s="61"/>
      <c r="H20" s="40" t="s">
        <v>3507</v>
      </c>
      <c r="I20" t="s">
        <v>3508</v>
      </c>
    </row>
    <row r="21" spans="1:11" ht="29.25" x14ac:dyDescent="0.25">
      <c r="A21" s="38"/>
      <c r="B21" s="62"/>
      <c r="C21" s="62"/>
      <c r="D21" s="65"/>
      <c r="E21" s="34"/>
      <c r="F21" s="34" t="s">
        <v>3509</v>
      </c>
      <c r="G21" s="62"/>
      <c r="H21" s="41"/>
    </row>
    <row r="22" spans="1:11" ht="58.5" x14ac:dyDescent="0.25">
      <c r="A22" s="30" t="s">
        <v>3175</v>
      </c>
      <c r="B22" s="60" t="s">
        <v>3510</v>
      </c>
      <c r="C22" s="60" t="s">
        <v>3511</v>
      </c>
      <c r="D22" s="60" t="s">
        <v>3512</v>
      </c>
      <c r="E22" s="31" t="s">
        <v>3513</v>
      </c>
      <c r="F22" s="31" t="s">
        <v>3463</v>
      </c>
      <c r="G22" s="60" t="s">
        <v>3514</v>
      </c>
      <c r="H22" s="39" t="s">
        <v>3503</v>
      </c>
      <c r="I22" s="32">
        <v>45600</v>
      </c>
      <c r="J22" t="s">
        <v>3437</v>
      </c>
      <c r="K22">
        <v>2024</v>
      </c>
    </row>
    <row r="23" spans="1:11" ht="30" x14ac:dyDescent="0.25">
      <c r="A23" s="35" t="s">
        <v>3515</v>
      </c>
      <c r="B23" s="61"/>
      <c r="C23" s="61"/>
      <c r="D23" s="61"/>
      <c r="E23" s="36" t="s">
        <v>3516</v>
      </c>
      <c r="F23" s="36"/>
      <c r="G23" s="61"/>
      <c r="H23" s="40" t="s">
        <v>3507</v>
      </c>
      <c r="I23" t="s">
        <v>3517</v>
      </c>
    </row>
    <row r="24" spans="1:11" ht="29.25" x14ac:dyDescent="0.25">
      <c r="A24" s="38"/>
      <c r="B24" s="62"/>
      <c r="C24" s="62"/>
      <c r="D24" s="62"/>
      <c r="E24" s="34"/>
      <c r="F24" s="34" t="s">
        <v>3509</v>
      </c>
      <c r="G24" s="62"/>
      <c r="H24" s="41"/>
    </row>
    <row r="25" spans="1:11" ht="39" x14ac:dyDescent="0.25">
      <c r="A25" s="70" t="s">
        <v>3518</v>
      </c>
      <c r="B25" s="60" t="s">
        <v>3519</v>
      </c>
      <c r="C25" s="60" t="s">
        <v>3520</v>
      </c>
      <c r="D25" s="63">
        <v>14642</v>
      </c>
      <c r="E25" s="31" t="s">
        <v>3521</v>
      </c>
      <c r="F25" s="60" t="s">
        <v>3522</v>
      </c>
      <c r="G25" s="60" t="s">
        <v>3523</v>
      </c>
      <c r="H25" s="39" t="s">
        <v>3524</v>
      </c>
    </row>
    <row r="26" spans="1:11" ht="30" x14ac:dyDescent="0.25">
      <c r="A26" s="71"/>
      <c r="B26" s="61"/>
      <c r="C26" s="61"/>
      <c r="D26" s="64"/>
      <c r="E26" s="36" t="s">
        <v>3525</v>
      </c>
      <c r="F26" s="61"/>
      <c r="G26" s="61"/>
      <c r="H26" s="40" t="s">
        <v>3526</v>
      </c>
    </row>
    <row r="27" spans="1:11" ht="30" x14ac:dyDescent="0.25">
      <c r="A27" s="72"/>
      <c r="B27" s="62"/>
      <c r="C27" s="62"/>
      <c r="D27" s="65"/>
      <c r="E27" s="34"/>
      <c r="F27" s="62"/>
      <c r="G27" s="62"/>
      <c r="H27" s="42" t="s">
        <v>3527</v>
      </c>
    </row>
    <row r="28" spans="1:11" ht="68.25" x14ac:dyDescent="0.25">
      <c r="A28" s="70" t="s">
        <v>3528</v>
      </c>
      <c r="B28" s="60" t="s">
        <v>3529</v>
      </c>
      <c r="C28" s="60" t="s">
        <v>3530</v>
      </c>
      <c r="D28" s="60">
        <f>-1 - 40</f>
        <v>-41</v>
      </c>
      <c r="E28" s="31" t="s">
        <v>3531</v>
      </c>
      <c r="F28" s="31" t="s">
        <v>3522</v>
      </c>
      <c r="G28" s="60" t="s">
        <v>3532</v>
      </c>
      <c r="H28" s="39" t="s">
        <v>3533</v>
      </c>
      <c r="I28" s="32">
        <v>45600</v>
      </c>
      <c r="J28" t="s">
        <v>3437</v>
      </c>
      <c r="K28">
        <v>2021</v>
      </c>
    </row>
    <row r="29" spans="1:11" ht="30" x14ac:dyDescent="0.25">
      <c r="A29" s="71"/>
      <c r="B29" s="61"/>
      <c r="C29" s="61"/>
      <c r="D29" s="61"/>
      <c r="E29" s="36" t="s">
        <v>3534</v>
      </c>
      <c r="F29" s="36"/>
      <c r="G29" s="61"/>
      <c r="H29" s="40" t="s">
        <v>3535</v>
      </c>
      <c r="I29" t="s">
        <v>3536</v>
      </c>
    </row>
    <row r="30" spans="1:11" ht="19.5" x14ac:dyDescent="0.25">
      <c r="A30" s="72"/>
      <c r="B30" s="62"/>
      <c r="C30" s="62"/>
      <c r="D30" s="62"/>
      <c r="E30" s="34"/>
      <c r="F30" s="34" t="s">
        <v>3537</v>
      </c>
      <c r="G30" s="62"/>
      <c r="H30" s="41"/>
    </row>
    <row r="31" spans="1:11" ht="68.25" x14ac:dyDescent="0.25">
      <c r="A31" s="30" t="s">
        <v>3182</v>
      </c>
      <c r="B31" s="60" t="s">
        <v>3538</v>
      </c>
      <c r="C31" s="60" t="s">
        <v>3539</v>
      </c>
      <c r="D31" s="60" t="s">
        <v>3540</v>
      </c>
      <c r="E31" s="31" t="s">
        <v>3541</v>
      </c>
      <c r="F31" s="60" t="s">
        <v>3542</v>
      </c>
      <c r="G31" s="60" t="s">
        <v>3543</v>
      </c>
      <c r="H31" s="52" t="s">
        <v>3544</v>
      </c>
    </row>
    <row r="32" spans="1:11" ht="19.5" x14ac:dyDescent="0.25">
      <c r="A32" s="33" t="s">
        <v>3545</v>
      </c>
      <c r="B32" s="62"/>
      <c r="C32" s="62"/>
      <c r="D32" s="62"/>
      <c r="E32" s="34" t="s">
        <v>3546</v>
      </c>
      <c r="F32" s="62"/>
      <c r="G32" s="62"/>
      <c r="H32" s="53"/>
    </row>
    <row r="33" spans="1:11" ht="60" x14ac:dyDescent="0.25">
      <c r="A33" s="30" t="s">
        <v>3547</v>
      </c>
      <c r="B33" s="60" t="s">
        <v>3548</v>
      </c>
      <c r="C33" s="60" t="s">
        <v>3470</v>
      </c>
      <c r="D33" s="63">
        <v>12175</v>
      </c>
      <c r="E33" s="31" t="s">
        <v>3549</v>
      </c>
      <c r="F33" s="60" t="s">
        <v>3550</v>
      </c>
      <c r="G33" s="60" t="s">
        <v>3551</v>
      </c>
      <c r="H33" s="39" t="s">
        <v>3552</v>
      </c>
      <c r="I33" s="32">
        <v>45600</v>
      </c>
      <c r="J33" t="s">
        <v>3553</v>
      </c>
      <c r="K33">
        <v>2024</v>
      </c>
    </row>
    <row r="34" spans="1:11" ht="30" x14ac:dyDescent="0.25">
      <c r="A34" s="33" t="s">
        <v>3554</v>
      </c>
      <c r="B34" s="62"/>
      <c r="C34" s="62"/>
      <c r="D34" s="65"/>
      <c r="E34" s="34" t="s">
        <v>3555</v>
      </c>
      <c r="F34" s="62"/>
      <c r="G34" s="62"/>
      <c r="H34" s="42" t="s">
        <v>3556</v>
      </c>
      <c r="I34" s="43" t="s">
        <v>3557</v>
      </c>
    </row>
    <row r="35" spans="1:11" ht="30" x14ac:dyDescent="0.25">
      <c r="A35" s="30" t="s">
        <v>3184</v>
      </c>
      <c r="B35" s="60" t="s">
        <v>3558</v>
      </c>
      <c r="C35" s="60" t="s">
        <v>3559</v>
      </c>
      <c r="D35" s="60" t="s">
        <v>3560</v>
      </c>
      <c r="E35" s="31" t="s">
        <v>3561</v>
      </c>
      <c r="F35" s="31" t="s">
        <v>3463</v>
      </c>
      <c r="G35" s="60" t="s">
        <v>3562</v>
      </c>
      <c r="H35" s="39" t="s">
        <v>3503</v>
      </c>
      <c r="I35" s="32">
        <v>45600</v>
      </c>
      <c r="J35" t="s">
        <v>3437</v>
      </c>
      <c r="K35">
        <v>2024</v>
      </c>
    </row>
    <row r="36" spans="1:11" ht="30" x14ac:dyDescent="0.25">
      <c r="A36" s="35" t="s">
        <v>3563</v>
      </c>
      <c r="B36" s="61"/>
      <c r="C36" s="61"/>
      <c r="D36" s="61"/>
      <c r="E36" s="36" t="s">
        <v>3564</v>
      </c>
      <c r="F36" s="36"/>
      <c r="G36" s="61"/>
      <c r="H36" s="40" t="s">
        <v>3507</v>
      </c>
      <c r="I36" t="s">
        <v>3565</v>
      </c>
    </row>
    <row r="37" spans="1:11" ht="29.25" x14ac:dyDescent="0.25">
      <c r="A37" s="38"/>
      <c r="B37" s="62"/>
      <c r="C37" s="62"/>
      <c r="D37" s="62"/>
      <c r="E37" s="34"/>
      <c r="F37" s="34" t="s">
        <v>3509</v>
      </c>
      <c r="G37" s="62"/>
      <c r="H37" s="41"/>
    </row>
    <row r="38" spans="1:11" ht="39" x14ac:dyDescent="0.25">
      <c r="A38" s="30" t="s">
        <v>3366</v>
      </c>
      <c r="B38" s="60" t="s">
        <v>3566</v>
      </c>
      <c r="C38" s="60" t="s">
        <v>3567</v>
      </c>
      <c r="D38" s="60"/>
      <c r="E38" s="31" t="s">
        <v>3568</v>
      </c>
      <c r="F38" s="60" t="s">
        <v>3569</v>
      </c>
      <c r="G38" s="60" t="s">
        <v>3570</v>
      </c>
      <c r="H38" s="52" t="s">
        <v>3571</v>
      </c>
      <c r="I38" s="32">
        <v>45600</v>
      </c>
      <c r="J38" t="s">
        <v>3572</v>
      </c>
      <c r="K38">
        <v>2015</v>
      </c>
    </row>
    <row r="39" spans="1:11" ht="19.5" x14ac:dyDescent="0.25">
      <c r="A39" s="33" t="s">
        <v>3573</v>
      </c>
      <c r="B39" s="62"/>
      <c r="C39" s="62"/>
      <c r="D39" s="62"/>
      <c r="E39" s="34" t="s">
        <v>3574</v>
      </c>
      <c r="F39" s="62"/>
      <c r="G39" s="62"/>
      <c r="H39" s="53"/>
      <c r="I39" t="s">
        <v>3575</v>
      </c>
    </row>
    <row r="40" spans="1:11" ht="30" x14ac:dyDescent="0.25">
      <c r="A40" s="30" t="s">
        <v>3576</v>
      </c>
      <c r="B40" s="60" t="s">
        <v>409</v>
      </c>
      <c r="C40" s="60"/>
      <c r="D40" s="60"/>
      <c r="E40" s="31" t="s">
        <v>3577</v>
      </c>
      <c r="F40" s="31" t="s">
        <v>3463</v>
      </c>
      <c r="G40" s="60" t="s">
        <v>3578</v>
      </c>
      <c r="H40" s="39" t="s">
        <v>3503</v>
      </c>
      <c r="I40" s="32">
        <v>45600</v>
      </c>
      <c r="J40" t="s">
        <v>3437</v>
      </c>
      <c r="K40">
        <v>2024</v>
      </c>
    </row>
    <row r="41" spans="1:11" ht="30" x14ac:dyDescent="0.25">
      <c r="A41" s="35" t="s">
        <v>3579</v>
      </c>
      <c r="B41" s="61"/>
      <c r="C41" s="61"/>
      <c r="D41" s="61"/>
      <c r="E41" s="36" t="s">
        <v>3580</v>
      </c>
      <c r="F41" s="36"/>
      <c r="G41" s="61"/>
      <c r="H41" s="40" t="s">
        <v>3507</v>
      </c>
      <c r="I41" t="s">
        <v>3581</v>
      </c>
    </row>
    <row r="42" spans="1:11" ht="29.25" x14ac:dyDescent="0.25">
      <c r="A42" s="38"/>
      <c r="B42" s="62"/>
      <c r="C42" s="62"/>
      <c r="D42" s="62"/>
      <c r="E42" s="34"/>
      <c r="F42" s="34" t="s">
        <v>3509</v>
      </c>
      <c r="G42" s="62"/>
      <c r="H42" s="41"/>
    </row>
    <row r="43" spans="1:11" ht="39" x14ac:dyDescent="0.25">
      <c r="A43" s="30" t="s">
        <v>3582</v>
      </c>
      <c r="B43" s="60" t="s">
        <v>3583</v>
      </c>
      <c r="C43" s="60" t="s">
        <v>3584</v>
      </c>
      <c r="D43" s="60">
        <f>-4 - 34</f>
        <v>-38</v>
      </c>
      <c r="E43" s="31" t="s">
        <v>3585</v>
      </c>
      <c r="F43" s="60" t="s">
        <v>3586</v>
      </c>
      <c r="G43" s="60" t="s">
        <v>3587</v>
      </c>
      <c r="H43" s="52" t="s">
        <v>3588</v>
      </c>
      <c r="I43" s="32">
        <v>45600</v>
      </c>
      <c r="J43" t="s">
        <v>3589</v>
      </c>
      <c r="K43">
        <v>2010</v>
      </c>
    </row>
    <row r="44" spans="1:11" ht="19.5" x14ac:dyDescent="0.25">
      <c r="A44" s="33" t="s">
        <v>3590</v>
      </c>
      <c r="B44" s="62"/>
      <c r="C44" s="62"/>
      <c r="D44" s="62"/>
      <c r="E44" s="34" t="s">
        <v>3591</v>
      </c>
      <c r="F44" s="62"/>
      <c r="G44" s="62"/>
      <c r="H44" s="53"/>
      <c r="I44" t="s">
        <v>3592</v>
      </c>
    </row>
    <row r="45" spans="1:11" ht="30" x14ac:dyDescent="0.25">
      <c r="A45" s="30" t="s">
        <v>3593</v>
      </c>
      <c r="B45" s="60" t="s">
        <v>3594</v>
      </c>
      <c r="C45" s="60" t="s">
        <v>3595</v>
      </c>
      <c r="D45" s="60" t="s">
        <v>3596</v>
      </c>
      <c r="E45" s="31" t="s">
        <v>3597</v>
      </c>
      <c r="F45" s="60" t="s">
        <v>3463</v>
      </c>
      <c r="G45" s="60" t="s">
        <v>3598</v>
      </c>
      <c r="H45" s="52" t="s">
        <v>3465</v>
      </c>
      <c r="I45" s="32">
        <v>45600</v>
      </c>
      <c r="J45" t="s">
        <v>3437</v>
      </c>
      <c r="K45">
        <v>2024</v>
      </c>
    </row>
    <row r="46" spans="1:11" ht="19.5" x14ac:dyDescent="0.25">
      <c r="A46" s="33" t="s">
        <v>3599</v>
      </c>
      <c r="B46" s="62"/>
      <c r="C46" s="62"/>
      <c r="D46" s="62"/>
      <c r="E46" s="34" t="s">
        <v>3600</v>
      </c>
      <c r="F46" s="62"/>
      <c r="G46" s="62"/>
      <c r="H46" s="53"/>
      <c r="I46" t="s">
        <v>3601</v>
      </c>
    </row>
    <row r="47" spans="1:11" ht="48.75" x14ac:dyDescent="0.25">
      <c r="A47" s="30" t="s">
        <v>3602</v>
      </c>
      <c r="B47" s="60" t="s">
        <v>3479</v>
      </c>
      <c r="C47" s="60" t="s">
        <v>3603</v>
      </c>
      <c r="D47" s="63">
        <v>12114</v>
      </c>
      <c r="E47" s="31" t="s">
        <v>3604</v>
      </c>
      <c r="F47" s="31" t="s">
        <v>3442</v>
      </c>
      <c r="G47" s="60" t="s">
        <v>3605</v>
      </c>
      <c r="H47" s="52" t="s">
        <v>3483</v>
      </c>
      <c r="I47" s="32">
        <v>45600</v>
      </c>
      <c r="J47" t="s">
        <v>3437</v>
      </c>
      <c r="K47">
        <v>2024</v>
      </c>
    </row>
    <row r="48" spans="1:11" ht="19.5" x14ac:dyDescent="0.25">
      <c r="A48" s="33" t="s">
        <v>3606</v>
      </c>
      <c r="B48" s="62"/>
      <c r="C48" s="62"/>
      <c r="D48" s="65"/>
      <c r="E48" s="34" t="s">
        <v>3607</v>
      </c>
      <c r="F48" s="34" t="s">
        <v>3486</v>
      </c>
      <c r="G48" s="62"/>
      <c r="H48" s="53"/>
      <c r="I48" t="s">
        <v>3608</v>
      </c>
    </row>
    <row r="49" spans="1:11" ht="78" x14ac:dyDescent="0.25">
      <c r="A49" s="30" t="s">
        <v>3609</v>
      </c>
      <c r="B49" s="60" t="s">
        <v>3610</v>
      </c>
      <c r="C49" s="60" t="s">
        <v>3611</v>
      </c>
      <c r="D49" s="60" t="s">
        <v>3612</v>
      </c>
      <c r="E49" s="31" t="s">
        <v>3613</v>
      </c>
      <c r="F49" s="60" t="s">
        <v>3614</v>
      </c>
      <c r="G49" s="60" t="s">
        <v>3615</v>
      </c>
      <c r="H49" s="68" t="s">
        <v>3616</v>
      </c>
      <c r="I49" s="32">
        <v>45600</v>
      </c>
      <c r="J49" t="s">
        <v>3437</v>
      </c>
      <c r="K49">
        <v>2022</v>
      </c>
    </row>
    <row r="50" spans="1:11" ht="30" x14ac:dyDescent="0.25">
      <c r="A50" s="33" t="s">
        <v>3617</v>
      </c>
      <c r="B50" s="62"/>
      <c r="C50" s="62"/>
      <c r="D50" s="62"/>
      <c r="E50" s="34" t="s">
        <v>3618</v>
      </c>
      <c r="F50" s="62"/>
      <c r="G50" s="62"/>
      <c r="H50" s="69"/>
      <c r="I50" t="s">
        <v>3619</v>
      </c>
    </row>
    <row r="51" spans="1:11" ht="68.25" x14ac:dyDescent="0.25">
      <c r="A51" s="30" t="s">
        <v>3620</v>
      </c>
      <c r="B51" s="60" t="s">
        <v>3621</v>
      </c>
      <c r="C51" s="60" t="s">
        <v>3622</v>
      </c>
      <c r="D51" s="60"/>
      <c r="E51" s="31" t="s">
        <v>3623</v>
      </c>
      <c r="F51" s="60" t="s">
        <v>3569</v>
      </c>
      <c r="G51" s="60" t="s">
        <v>3624</v>
      </c>
      <c r="H51" s="39" t="s">
        <v>3625</v>
      </c>
    </row>
    <row r="52" spans="1:11" ht="30" x14ac:dyDescent="0.25">
      <c r="A52" s="33" t="s">
        <v>3626</v>
      </c>
      <c r="B52" s="62"/>
      <c r="C52" s="62"/>
      <c r="D52" s="62"/>
      <c r="E52" s="34" t="s">
        <v>3627</v>
      </c>
      <c r="F52" s="62"/>
      <c r="G52" s="62"/>
      <c r="H52" s="42" t="s">
        <v>3628</v>
      </c>
    </row>
    <row r="53" spans="1:11" ht="48.75" x14ac:dyDescent="0.25">
      <c r="A53" s="30" t="s">
        <v>3629</v>
      </c>
      <c r="B53" s="60" t="s">
        <v>3630</v>
      </c>
      <c r="C53" s="60" t="s">
        <v>3631</v>
      </c>
      <c r="D53" s="63">
        <v>42522</v>
      </c>
      <c r="E53" s="31" t="s">
        <v>3632</v>
      </c>
      <c r="F53" s="60" t="s">
        <v>3633</v>
      </c>
      <c r="G53" s="60" t="s">
        <v>3634</v>
      </c>
      <c r="H53" s="52" t="s">
        <v>3635</v>
      </c>
    </row>
    <row r="54" spans="1:11" ht="19.5" x14ac:dyDescent="0.25">
      <c r="A54" s="33" t="s">
        <v>3636</v>
      </c>
      <c r="B54" s="62"/>
      <c r="C54" s="62"/>
      <c r="D54" s="65"/>
      <c r="E54" s="34" t="s">
        <v>3637</v>
      </c>
      <c r="F54" s="62"/>
      <c r="G54" s="62"/>
      <c r="H54" s="53"/>
    </row>
    <row r="55" spans="1:11" ht="58.5" x14ac:dyDescent="0.25">
      <c r="A55" s="30" t="s">
        <v>3193</v>
      </c>
      <c r="B55" s="60" t="s">
        <v>3638</v>
      </c>
      <c r="C55" s="60" t="s">
        <v>3639</v>
      </c>
      <c r="D55" s="63">
        <v>14550</v>
      </c>
      <c r="E55" s="31" t="s">
        <v>3640</v>
      </c>
      <c r="F55" s="31" t="s">
        <v>3463</v>
      </c>
      <c r="G55" s="60" t="s">
        <v>3641</v>
      </c>
      <c r="H55" s="39" t="s">
        <v>3503</v>
      </c>
      <c r="I55" s="32">
        <v>45600</v>
      </c>
      <c r="J55" t="s">
        <v>3437</v>
      </c>
      <c r="K55">
        <v>2024</v>
      </c>
    </row>
    <row r="56" spans="1:11" ht="30" x14ac:dyDescent="0.25">
      <c r="A56" s="35" t="s">
        <v>3642</v>
      </c>
      <c r="B56" s="61"/>
      <c r="C56" s="61"/>
      <c r="D56" s="64"/>
      <c r="E56" s="36" t="s">
        <v>3643</v>
      </c>
      <c r="F56" s="36"/>
      <c r="G56" s="61"/>
      <c r="H56" s="40" t="s">
        <v>3507</v>
      </c>
      <c r="I56" t="s">
        <v>3644</v>
      </c>
    </row>
    <row r="57" spans="1:11" ht="29.25" x14ac:dyDescent="0.25">
      <c r="A57" s="38"/>
      <c r="B57" s="62"/>
      <c r="C57" s="62"/>
      <c r="D57" s="65"/>
      <c r="E57" s="34"/>
      <c r="F57" s="34" t="s">
        <v>3509</v>
      </c>
      <c r="G57" s="62"/>
      <c r="H57" s="41"/>
    </row>
    <row r="58" spans="1:11" ht="48.75" x14ac:dyDescent="0.25">
      <c r="A58" s="30" t="s">
        <v>3195</v>
      </c>
      <c r="B58" s="60" t="s">
        <v>3645</v>
      </c>
      <c r="C58" s="60" t="s">
        <v>3646</v>
      </c>
      <c r="D58" s="60">
        <f>-4 - 46</f>
        <v>-50</v>
      </c>
      <c r="E58" s="31" t="s">
        <v>3647</v>
      </c>
      <c r="F58" s="60" t="s">
        <v>3442</v>
      </c>
      <c r="G58" s="60" t="s">
        <v>3648</v>
      </c>
      <c r="H58" s="52" t="s">
        <v>3444</v>
      </c>
      <c r="I58" s="32">
        <v>45600</v>
      </c>
      <c r="J58" t="s">
        <v>3437</v>
      </c>
      <c r="K58">
        <v>2022</v>
      </c>
    </row>
    <row r="59" spans="1:11" ht="19.5" x14ac:dyDescent="0.25">
      <c r="A59" s="33" t="s">
        <v>3649</v>
      </c>
      <c r="B59" s="62"/>
      <c r="C59" s="62"/>
      <c r="D59" s="62"/>
      <c r="E59" s="34" t="s">
        <v>3650</v>
      </c>
      <c r="F59" s="62"/>
      <c r="G59" s="62"/>
      <c r="H59" s="53"/>
      <c r="I59" t="s">
        <v>3651</v>
      </c>
    </row>
    <row r="60" spans="1:11" ht="30" x14ac:dyDescent="0.25">
      <c r="A60" s="30" t="s">
        <v>3197</v>
      </c>
      <c r="B60" s="60" t="s">
        <v>3652</v>
      </c>
      <c r="C60" s="60" t="s">
        <v>3653</v>
      </c>
      <c r="D60" s="60">
        <f>-10 - 30</f>
        <v>-40</v>
      </c>
      <c r="E60" s="31" t="s">
        <v>3654</v>
      </c>
      <c r="F60" s="60" t="s">
        <v>3655</v>
      </c>
      <c r="G60" s="60" t="s">
        <v>3656</v>
      </c>
      <c r="H60" s="52" t="s">
        <v>3657</v>
      </c>
      <c r="I60" s="32">
        <v>45600</v>
      </c>
      <c r="J60" t="s">
        <v>3437</v>
      </c>
      <c r="K60">
        <v>2022</v>
      </c>
    </row>
    <row r="61" spans="1:11" ht="30" x14ac:dyDescent="0.25">
      <c r="A61" s="33" t="s">
        <v>3658</v>
      </c>
      <c r="B61" s="62"/>
      <c r="C61" s="62"/>
      <c r="D61" s="62"/>
      <c r="E61" s="34" t="s">
        <v>3659</v>
      </c>
      <c r="F61" s="62"/>
      <c r="G61" s="62"/>
      <c r="H61" s="53"/>
      <c r="I61" t="s">
        <v>3660</v>
      </c>
    </row>
    <row r="62" spans="1:11" ht="45" x14ac:dyDescent="0.25">
      <c r="A62" s="30" t="s">
        <v>3661</v>
      </c>
      <c r="B62" s="66" t="s">
        <v>3662</v>
      </c>
      <c r="C62" s="60" t="s">
        <v>3559</v>
      </c>
      <c r="D62" s="63">
        <v>43678</v>
      </c>
      <c r="E62" s="31" t="s">
        <v>3663</v>
      </c>
      <c r="F62" s="60" t="s">
        <v>3633</v>
      </c>
      <c r="G62" s="60" t="s">
        <v>3664</v>
      </c>
      <c r="H62" s="39" t="s">
        <v>3665</v>
      </c>
      <c r="I62" s="32">
        <v>45600</v>
      </c>
      <c r="J62" t="s">
        <v>3437</v>
      </c>
      <c r="K62">
        <v>2022</v>
      </c>
    </row>
    <row r="63" spans="1:11" ht="30" x14ac:dyDescent="0.25">
      <c r="A63" s="33" t="s">
        <v>3666</v>
      </c>
      <c r="B63" s="67"/>
      <c r="C63" s="62"/>
      <c r="D63" s="65"/>
      <c r="E63" s="34" t="s">
        <v>3667</v>
      </c>
      <c r="F63" s="62"/>
      <c r="G63" s="62"/>
      <c r="H63" s="42" t="s">
        <v>3668</v>
      </c>
      <c r="I63" t="s">
        <v>3669</v>
      </c>
    </row>
    <row r="64" spans="1:11" ht="48.75" x14ac:dyDescent="0.25">
      <c r="A64" s="30" t="s">
        <v>3200</v>
      </c>
      <c r="B64" s="60" t="s">
        <v>3670</v>
      </c>
      <c r="C64" s="60" t="s">
        <v>3671</v>
      </c>
      <c r="D64" s="63">
        <v>11018</v>
      </c>
      <c r="E64" s="31" t="s">
        <v>3672</v>
      </c>
      <c r="F64" s="60" t="s">
        <v>3463</v>
      </c>
      <c r="G64" s="60" t="s">
        <v>3673</v>
      </c>
      <c r="H64" s="39" t="s">
        <v>3503</v>
      </c>
      <c r="I64" s="32">
        <v>45600</v>
      </c>
      <c r="J64" t="s">
        <v>3437</v>
      </c>
      <c r="K64">
        <v>2024</v>
      </c>
    </row>
    <row r="65" spans="1:11" ht="30" x14ac:dyDescent="0.25">
      <c r="A65" s="33" t="s">
        <v>3674</v>
      </c>
      <c r="B65" s="62"/>
      <c r="C65" s="62"/>
      <c r="D65" s="65"/>
      <c r="E65" s="34" t="s">
        <v>3675</v>
      </c>
      <c r="F65" s="62"/>
      <c r="G65" s="62"/>
      <c r="H65" s="42" t="s">
        <v>3676</v>
      </c>
      <c r="I65" t="s">
        <v>3677</v>
      </c>
    </row>
    <row r="66" spans="1:11" ht="68.25" x14ac:dyDescent="0.25">
      <c r="A66" s="30" t="s">
        <v>3201</v>
      </c>
      <c r="B66" s="60" t="s">
        <v>3678</v>
      </c>
      <c r="C66" s="60" t="s">
        <v>3679</v>
      </c>
      <c r="D66" s="63">
        <v>10959</v>
      </c>
      <c r="E66" s="31" t="s">
        <v>3680</v>
      </c>
      <c r="F66" s="31" t="s">
        <v>3681</v>
      </c>
      <c r="G66" s="60" t="s">
        <v>3682</v>
      </c>
      <c r="H66" s="39" t="s">
        <v>3683</v>
      </c>
      <c r="I66" s="32">
        <v>45600</v>
      </c>
      <c r="J66" t="s">
        <v>3437</v>
      </c>
      <c r="K66">
        <v>2020</v>
      </c>
    </row>
    <row r="67" spans="1:11" ht="45" x14ac:dyDescent="0.25">
      <c r="A67" s="35" t="s">
        <v>3684</v>
      </c>
      <c r="B67" s="61"/>
      <c r="C67" s="61"/>
      <c r="D67" s="64"/>
      <c r="E67" s="36" t="s">
        <v>3685</v>
      </c>
      <c r="F67" s="44"/>
      <c r="G67" s="61"/>
      <c r="H67" s="40" t="s">
        <v>3686</v>
      </c>
      <c r="I67" t="s">
        <v>3687</v>
      </c>
    </row>
    <row r="68" spans="1:11" ht="19.5" x14ac:dyDescent="0.25">
      <c r="A68" s="37"/>
      <c r="B68" s="61"/>
      <c r="C68" s="61"/>
      <c r="D68" s="64"/>
      <c r="E68" s="36"/>
      <c r="F68" s="36" t="s">
        <v>3522</v>
      </c>
      <c r="G68" s="61"/>
      <c r="H68" s="45"/>
    </row>
    <row r="69" spans="1:11" x14ac:dyDescent="0.25">
      <c r="A69" s="37"/>
      <c r="B69" s="61"/>
      <c r="C69" s="61"/>
      <c r="D69" s="64"/>
      <c r="E69" s="36"/>
      <c r="F69" s="36"/>
      <c r="G69" s="61"/>
      <c r="H69" s="45"/>
    </row>
    <row r="70" spans="1:11" ht="58.5" x14ac:dyDescent="0.25">
      <c r="A70" s="38"/>
      <c r="B70" s="62"/>
      <c r="C70" s="62"/>
      <c r="D70" s="65"/>
      <c r="E70" s="34"/>
      <c r="F70" s="34" t="s">
        <v>3688</v>
      </c>
      <c r="G70" s="62"/>
      <c r="H70" s="41"/>
    </row>
    <row r="71" spans="1:11" ht="39" x14ac:dyDescent="0.25">
      <c r="A71" s="30" t="s">
        <v>3689</v>
      </c>
      <c r="B71" s="60" t="s">
        <v>3690</v>
      </c>
      <c r="C71" s="60" t="s">
        <v>3691</v>
      </c>
      <c r="D71" s="63">
        <v>13850</v>
      </c>
      <c r="E71" s="31" t="s">
        <v>3692</v>
      </c>
      <c r="F71" s="60" t="s">
        <v>3463</v>
      </c>
      <c r="G71" s="60" t="s">
        <v>3693</v>
      </c>
      <c r="H71" s="52" t="s">
        <v>3465</v>
      </c>
      <c r="I71" s="32">
        <v>45600</v>
      </c>
      <c r="J71" t="s">
        <v>3437</v>
      </c>
      <c r="K71">
        <v>2024</v>
      </c>
    </row>
    <row r="72" spans="1:11" ht="19.5" x14ac:dyDescent="0.25">
      <c r="A72" s="33" t="s">
        <v>3694</v>
      </c>
      <c r="B72" s="62"/>
      <c r="C72" s="62"/>
      <c r="D72" s="65"/>
      <c r="E72" s="34" t="s">
        <v>3695</v>
      </c>
      <c r="F72" s="62"/>
      <c r="G72" s="62"/>
      <c r="H72" s="53"/>
      <c r="I72" t="s">
        <v>3696</v>
      </c>
    </row>
    <row r="73" spans="1:11" ht="48.75" x14ac:dyDescent="0.25">
      <c r="A73" s="54" t="s">
        <v>3697</v>
      </c>
      <c r="B73" s="56" t="s">
        <v>3698</v>
      </c>
      <c r="C73" s="56" t="s">
        <v>3699</v>
      </c>
      <c r="D73" s="56" t="s">
        <v>3700</v>
      </c>
      <c r="E73" s="46" t="s">
        <v>3491</v>
      </c>
      <c r="F73" s="56" t="s">
        <v>3492</v>
      </c>
      <c r="G73" s="56" t="s">
        <v>3701</v>
      </c>
      <c r="H73" s="58" t="s">
        <v>3494</v>
      </c>
      <c r="I73" s="32">
        <v>45600</v>
      </c>
      <c r="J73" t="s">
        <v>3437</v>
      </c>
      <c r="K73">
        <v>2024</v>
      </c>
    </row>
    <row r="74" spans="1:11" ht="39.75" thickBot="1" x14ac:dyDescent="0.3">
      <c r="A74" s="55"/>
      <c r="B74" s="57"/>
      <c r="C74" s="57"/>
      <c r="D74" s="57"/>
      <c r="E74" s="47" t="s">
        <v>3702</v>
      </c>
      <c r="F74" s="57"/>
      <c r="G74" s="57"/>
      <c r="H74" s="59"/>
      <c r="I74" t="s">
        <v>3703</v>
      </c>
    </row>
    <row r="75" spans="1:11" x14ac:dyDescent="0.25">
      <c r="I75" t="s">
        <v>3704</v>
      </c>
    </row>
    <row r="76" spans="1:11" x14ac:dyDescent="0.25">
      <c r="A76" t="s">
        <v>144</v>
      </c>
      <c r="I76" t="s">
        <v>3705</v>
      </c>
    </row>
    <row r="77" spans="1:11" x14ac:dyDescent="0.25">
      <c r="A77" t="s">
        <v>147</v>
      </c>
      <c r="I77" t="s">
        <v>3705</v>
      </c>
    </row>
  </sheetData>
  <mergeCells count="163">
    <mergeCell ref="A1:A2"/>
    <mergeCell ref="B1:B2"/>
    <mergeCell ref="C1:C2"/>
    <mergeCell ref="D1:D2"/>
    <mergeCell ref="F1:F2"/>
    <mergeCell ref="G1:G2"/>
    <mergeCell ref="B7:B8"/>
    <mergeCell ref="C7:C8"/>
    <mergeCell ref="D7:D8"/>
    <mergeCell ref="F7:F8"/>
    <mergeCell ref="G7:G8"/>
    <mergeCell ref="H7:H8"/>
    <mergeCell ref="H1:H2"/>
    <mergeCell ref="B5:B6"/>
    <mergeCell ref="C5:C6"/>
    <mergeCell ref="D5:D6"/>
    <mergeCell ref="F5:F6"/>
    <mergeCell ref="G5:G6"/>
    <mergeCell ref="H5:H6"/>
    <mergeCell ref="B11:B12"/>
    <mergeCell ref="C11:C12"/>
    <mergeCell ref="D11:D12"/>
    <mergeCell ref="F11:F12"/>
    <mergeCell ref="G11:G12"/>
    <mergeCell ref="H11:H12"/>
    <mergeCell ref="B9:B10"/>
    <mergeCell ref="C9:C10"/>
    <mergeCell ref="D9:D10"/>
    <mergeCell ref="F9:F10"/>
    <mergeCell ref="G9:G10"/>
    <mergeCell ref="H9:H10"/>
    <mergeCell ref="B13:B16"/>
    <mergeCell ref="C13:C16"/>
    <mergeCell ref="D13:D16"/>
    <mergeCell ref="G13:G16"/>
    <mergeCell ref="H13:H16"/>
    <mergeCell ref="B17:B18"/>
    <mergeCell ref="C17:C18"/>
    <mergeCell ref="D17:D18"/>
    <mergeCell ref="F17:F18"/>
    <mergeCell ref="G17:G18"/>
    <mergeCell ref="A25:A27"/>
    <mergeCell ref="B25:B27"/>
    <mergeCell ref="C25:C27"/>
    <mergeCell ref="D25:D27"/>
    <mergeCell ref="F25:F27"/>
    <mergeCell ref="G25:G27"/>
    <mergeCell ref="H17:H18"/>
    <mergeCell ref="B19:B21"/>
    <mergeCell ref="C19:C21"/>
    <mergeCell ref="D19:D21"/>
    <mergeCell ref="G19:G21"/>
    <mergeCell ref="B22:B24"/>
    <mergeCell ref="C22:C24"/>
    <mergeCell ref="D22:D24"/>
    <mergeCell ref="G22:G24"/>
    <mergeCell ref="H31:H32"/>
    <mergeCell ref="B33:B34"/>
    <mergeCell ref="C33:C34"/>
    <mergeCell ref="D33:D34"/>
    <mergeCell ref="F33:F34"/>
    <mergeCell ref="G33:G34"/>
    <mergeCell ref="A28:A30"/>
    <mergeCell ref="B28:B30"/>
    <mergeCell ref="C28:C30"/>
    <mergeCell ref="D28:D30"/>
    <mergeCell ref="G28:G30"/>
    <mergeCell ref="B31:B32"/>
    <mergeCell ref="C31:C32"/>
    <mergeCell ref="D31:D32"/>
    <mergeCell ref="F31:F32"/>
    <mergeCell ref="G31:G32"/>
    <mergeCell ref="B35:B37"/>
    <mergeCell ref="C35:C37"/>
    <mergeCell ref="D35:D37"/>
    <mergeCell ref="G35:G37"/>
    <mergeCell ref="B38:B39"/>
    <mergeCell ref="C38:C39"/>
    <mergeCell ref="D38:D39"/>
    <mergeCell ref="F38:F39"/>
    <mergeCell ref="G38:G39"/>
    <mergeCell ref="H43:H44"/>
    <mergeCell ref="B45:B46"/>
    <mergeCell ref="C45:C46"/>
    <mergeCell ref="D45:D46"/>
    <mergeCell ref="F45:F46"/>
    <mergeCell ref="G45:G46"/>
    <mergeCell ref="H45:H46"/>
    <mergeCell ref="H38:H39"/>
    <mergeCell ref="B40:B42"/>
    <mergeCell ref="C40:C42"/>
    <mergeCell ref="D40:D42"/>
    <mergeCell ref="G40:G42"/>
    <mergeCell ref="B43:B44"/>
    <mergeCell ref="C43:C44"/>
    <mergeCell ref="D43:D44"/>
    <mergeCell ref="F43:F44"/>
    <mergeCell ref="G43:G44"/>
    <mergeCell ref="B47:B48"/>
    <mergeCell ref="C47:C48"/>
    <mergeCell ref="D47:D48"/>
    <mergeCell ref="G47:G48"/>
    <mergeCell ref="H47:H48"/>
    <mergeCell ref="B49:B50"/>
    <mergeCell ref="C49:C50"/>
    <mergeCell ref="D49:D50"/>
    <mergeCell ref="F49:F50"/>
    <mergeCell ref="G49:G50"/>
    <mergeCell ref="B53:B54"/>
    <mergeCell ref="C53:C54"/>
    <mergeCell ref="D53:D54"/>
    <mergeCell ref="F53:F54"/>
    <mergeCell ref="G53:G54"/>
    <mergeCell ref="H53:H54"/>
    <mergeCell ref="H49:H50"/>
    <mergeCell ref="B51:B52"/>
    <mergeCell ref="C51:C52"/>
    <mergeCell ref="D51:D52"/>
    <mergeCell ref="F51:F52"/>
    <mergeCell ref="G51:G52"/>
    <mergeCell ref="H58:H59"/>
    <mergeCell ref="B60:B61"/>
    <mergeCell ref="C60:C61"/>
    <mergeCell ref="D60:D61"/>
    <mergeCell ref="F60:F61"/>
    <mergeCell ref="G60:G61"/>
    <mergeCell ref="H60:H61"/>
    <mergeCell ref="B55:B57"/>
    <mergeCell ref="C55:C57"/>
    <mergeCell ref="D55:D57"/>
    <mergeCell ref="G55:G57"/>
    <mergeCell ref="B58:B59"/>
    <mergeCell ref="C58:C59"/>
    <mergeCell ref="D58:D59"/>
    <mergeCell ref="F58:F59"/>
    <mergeCell ref="G58:G59"/>
    <mergeCell ref="B62:B63"/>
    <mergeCell ref="C62:C63"/>
    <mergeCell ref="D62:D63"/>
    <mergeCell ref="F62:F63"/>
    <mergeCell ref="G62:G63"/>
    <mergeCell ref="B64:B65"/>
    <mergeCell ref="C64:C65"/>
    <mergeCell ref="D64:D65"/>
    <mergeCell ref="F64:F65"/>
    <mergeCell ref="G64:G65"/>
    <mergeCell ref="H71:H72"/>
    <mergeCell ref="A73:A74"/>
    <mergeCell ref="B73:B74"/>
    <mergeCell ref="C73:C74"/>
    <mergeCell ref="D73:D74"/>
    <mergeCell ref="F73:F74"/>
    <mergeCell ref="G73:G74"/>
    <mergeCell ref="H73:H74"/>
    <mergeCell ref="B66:B70"/>
    <mergeCell ref="C66:C70"/>
    <mergeCell ref="D66:D70"/>
    <mergeCell ref="G66:G70"/>
    <mergeCell ref="B71:B72"/>
    <mergeCell ref="C71:C72"/>
    <mergeCell ref="D71:D72"/>
    <mergeCell ref="F71:F72"/>
    <mergeCell ref="G71:G72"/>
  </mergeCells>
  <hyperlinks>
    <hyperlink ref="A5" r:id="rId1" display="https://ozflux.org.au/monitoringsites/alicesprings/index.html" xr:uid="{9914FD0E-6C50-49C0-8427-DCEF3DA8D6C5}"/>
    <hyperlink ref="A6" r:id="rId2" display="https://ozflux.org.au/monitoringsites/alicesprings/index.html" xr:uid="{6F2583FF-AE9A-4AC2-B3ED-5C870ED6373E}"/>
    <hyperlink ref="H5" r:id="rId3" display="mailto:dr.jr.cleverly@gmail.com" xr:uid="{A397AE70-E47C-407D-ADFF-BCDC9883D4AA}"/>
    <hyperlink ref="A7" r:id="rId4" display="https://ozflux.org.au/monitoringsites/alpinepeatland/index.html" xr:uid="{E5B72A5B-A88E-4D88-A84D-ACF9D35A5CA7}"/>
    <hyperlink ref="A8" r:id="rId5" display="https://ozflux.org.au/monitoringsites/alpinepeatland/index.html" xr:uid="{DCEC2094-1031-42B6-8939-AB54F23D6467}"/>
    <hyperlink ref="H7" r:id="rId6" display="mailto:samantha.grover@rmit.edu.au" xr:uid="{2967D9FA-8893-4133-9A27-ED89B26A12B5}"/>
    <hyperlink ref="A9" r:id="rId7" display="https://ozflux.org.au/monitoringsites/boyagin/index.html" xr:uid="{826765CC-98FB-4DC4-8961-4B22F70490E6}"/>
    <hyperlink ref="A10" r:id="rId8" display="https://ozflux.org.au/monitoringsites/boyagin/index.html" xr:uid="{CECDC368-9CFE-46FC-9C6A-1F9044C03C66}"/>
    <hyperlink ref="H9" r:id="rId9" tooltip="Jason Beringer" display="mailto:jason.beringer@uwa.edu.au" xr:uid="{91998940-E321-487A-AE31-CE6CEFCA7734}"/>
    <hyperlink ref="A11" r:id="rId10" display="https://ozflux.org.au/monitoringsites/calperum/index.html" xr:uid="{3120CE70-4199-4728-8147-38A78C1DE754}"/>
    <hyperlink ref="A12" r:id="rId11" display="https://ozflux.org.au/monitoringsites/calperum/index.html" xr:uid="{6CD3D078-2A16-478C-89A1-124A7E274632}"/>
    <hyperlink ref="H11" r:id="rId12" display="mailto:wayne.meyer@adelaide.edu.au" xr:uid="{6B0FEA31-5001-45D5-95D1-30587C63B1EF}"/>
    <hyperlink ref="A13" r:id="rId13" display="https://ozflux.org.au/monitoringsites/cowbay/index.html" xr:uid="{54D13D0B-793B-49E2-8B34-56D8911D3692}"/>
    <hyperlink ref="A14" r:id="rId14" display="https://ozflux.org.au/monitoringsites/cowbay/index.html" xr:uid="{E323E2B1-1169-437E-BEEF-C6A3DD2B99F6}"/>
    <hyperlink ref="H13" r:id="rId15" display="mailto:michael.liddell@jcu.edu.au" xr:uid="{0599D930-0374-4F8E-A8FB-73F7CF03FC48}"/>
    <hyperlink ref="A17" r:id="rId16" display="https://ozflux.org.au/monitoringsites/cumberlandplain/index.html" xr:uid="{25AFD310-336F-4F27-ACD3-8FC0E9460016}"/>
    <hyperlink ref="A18" r:id="rId17" display="https://ozflux.org.au/monitoringsites/cumberlandplain/index.html" xr:uid="{DB8CB5DD-4904-4794-8FC8-EFC32C254491}"/>
    <hyperlink ref="H17" r:id="rId18" display="mailto:E.Pendall@westernsydney.edu.au" xr:uid="{0D8C8659-3A77-4991-BD09-CFF4CC870D82}"/>
    <hyperlink ref="A19" r:id="rId19" display="https://ozflux.org.au/monitoringsites/dalyuncleared/index.html" xr:uid="{000AB7C2-F62A-4BF7-98F3-7BD7BDBF09B8}"/>
    <hyperlink ref="A20" r:id="rId20" display="https://ozflux.org.au/monitoringsites/dalyuncleared/index.html" xr:uid="{578945C9-B83A-48BE-91E7-C64A0E6939A2}"/>
    <hyperlink ref="H19" r:id="rId21" tooltip="Jason Beringer" display="mailto:jason.beringer@uwa.edu.au" xr:uid="{01CA6147-BE34-44E3-8A43-6A9F7E03D346}"/>
    <hyperlink ref="H20" r:id="rId22" tooltip="Lindsay Hutley" display="mailto:Lindsay.Hutley@cdu.edu.au" xr:uid="{8D4395EE-0E28-45F5-AF5A-1C3EE470B1C5}"/>
    <hyperlink ref="A22" r:id="rId23" display="https://ozflux.org.au/monitoringsites/dryriver/index.html" xr:uid="{2864DA1A-FDCF-42CF-8950-8F58BE478045}"/>
    <hyperlink ref="A23" r:id="rId24" display="https://ozflux.org.au/monitoringsites/dryriver/index.html" xr:uid="{C629FCE9-CE0E-4C08-AC68-3C30A39707FD}"/>
    <hyperlink ref="H22" r:id="rId25" tooltip="Jason Beringer" display="mailto:jason.beringer@uwa.edu.au" xr:uid="{D1BE9EBA-7D14-4078-AA84-7C7388E5CD4B}"/>
    <hyperlink ref="H23" r:id="rId26" tooltip="Lindsay Hutley" display="mailto:Lindsay.Hutley@cdu.edu.au" xr:uid="{49A708F0-7646-4E97-AF76-2D8DB01D4D5B}"/>
    <hyperlink ref="A25" r:id="rId27" display="https://ozflux.org.au/monitoringsites/frenchisland/index.html" xr:uid="{BB6EBDF6-7E6C-41E2-A3E7-7932AB11D15A}"/>
    <hyperlink ref="H25" r:id="rId28" display="mailto:matthew.peck@monash.edu" xr:uid="{3420623A-86AF-4C15-B1DA-5A725FFFAB80}"/>
    <hyperlink ref="H26" r:id="rId29" display="mailto:leigh.burgess@monash.edu" xr:uid="{68698524-D8F9-43B1-AFC6-9943611BEA89}"/>
    <hyperlink ref="H27" r:id="rId30" display="mailto:ruth.reef@monash.edu" xr:uid="{B8C1103D-54A3-4748-8FB4-F0FC36EE5577}"/>
    <hyperlink ref="A28" r:id="rId31" display="https://ozflux.org.au/monitoringsites/gatumpasture/index.html" xr:uid="{3A435D1C-DF4C-4736-A99B-61103DC7AEE5}"/>
    <hyperlink ref="H28" r:id="rId32" display="mailto:Edoardo.Daly@monash.edu" xr:uid="{5116DE37-9BFB-4864-A74D-2BE094B07CA2}"/>
    <hyperlink ref="H29" r:id="rId33" display="mailto:mailto:ian.mchugh@unimelb.edu.au" xr:uid="{90019E48-DA93-472A-9701-C0424C425B60}"/>
    <hyperlink ref="A31" r:id="rId34" display="https://ozflux.org.au/monitoringsites/gingin/index.html" xr:uid="{A3996806-4AE3-4BEC-A00E-3415C9EDA6AF}"/>
    <hyperlink ref="A32" r:id="rId35" display="https://ozflux.org.au/monitoringsites/gingin/index.html" xr:uid="{6639598A-3DEF-4DF4-A78C-638FD01840B7}"/>
    <hyperlink ref="H31" r:id="rId36" display="mailto:r.silberstein@ecu.edu.au" xr:uid="{0CC69CBB-6A7D-4921-A8D1-60B747BDE311}"/>
    <hyperlink ref="A33" r:id="rId37" display="https://ozflux.org.au/monitoringsites/gww/index.html" xr:uid="{81A9BB98-8E38-4F0B-B2F4-CB8A531852AF}"/>
    <hyperlink ref="A34" r:id="rId38" display="https://ozflux.org.au/monitoringsites/gww/index.html" xr:uid="{1F464F1B-197C-4810-99F3-1B254D6BA664}"/>
    <hyperlink ref="H33" r:id="rId39" display="mailto:Craig.Macfarlane@csiro.au" xr:uid="{5DAD1C60-3DDB-46D2-AD9C-3628C62248A5}"/>
    <hyperlink ref="H34" r:id="rId40" display="mailto:Suzanne.Prober@csiro.au" xr:uid="{ACB30567-0B66-4CAB-BA21-9AFF48ED2285}"/>
    <hyperlink ref="A35" r:id="rId41" display="https://ozflux.org.au/monitoringsites/howardsprings/index.html" xr:uid="{033CA759-D4BF-462F-9F17-24D903C1DACE}"/>
    <hyperlink ref="A36" r:id="rId42" display="https://ozflux.org.au/monitoringsites/howardsprings/index.html" xr:uid="{1B44AFAD-7523-44F7-B06C-1246FBCC9F9B}"/>
    <hyperlink ref="H35" r:id="rId43" tooltip="Jason Beringer" display="mailto:jason.beringer@uwa.edu.au" xr:uid="{2B5A828D-3373-4491-B470-9C4B3248B717}"/>
    <hyperlink ref="H36" r:id="rId44" tooltip="Lindsay Hutley" display="mailto:Lindsay.Hutley@cdu.edu.au" xr:uid="{7FFFE8E9-E908-4A29-8F92-3B9957BE3945}"/>
    <hyperlink ref="A38" r:id="rId45" display="https://ozflux.org.au/monitoringsites/kopuatai/index.html" xr:uid="{715A6C7A-EF3B-4EE4-B44C-54188E6253B2}"/>
    <hyperlink ref="A39" r:id="rId46" display="https://ozflux.org.au/monitoringsites/kopuatai/index.html" xr:uid="{36940EFD-E795-42EE-9848-6759FFBB98E8}"/>
    <hyperlink ref="H38" r:id="rId47" display="mailto:davec@waikato.ac.nz" xr:uid="{398405D2-3695-4A8F-A625-E6F7068B3814}"/>
    <hyperlink ref="A40" r:id="rId48" display="https://ozflux.org.au/monitoringsites/litchfield/index.html" xr:uid="{BEC94914-C939-45B9-8A7E-C34F923247D3}"/>
    <hyperlink ref="A41" r:id="rId49" display="https://ozflux.org.au/monitoringsites/litchfield/index.html" xr:uid="{E470AE80-AA5C-42FA-9FD5-24C4E78284D7}"/>
    <hyperlink ref="H40" r:id="rId50" tooltip="Jason Beringer" display="mailto:jason.beringer@uwa.edu.au" xr:uid="{DAF21D39-EC49-45D5-8524-91C2C4BA3016}"/>
    <hyperlink ref="H41" r:id="rId51" tooltip="Lindsay Hutley" display="mailto:Lindsay.Hutley@cdu.edu.au" xr:uid="{E4F499F2-2E77-4B63-B281-1681581F6238}"/>
    <hyperlink ref="A43" r:id="rId52" display="https://ozflux.org.au/monitoringsites/oxford/index.html" xr:uid="{19BB9C10-D50E-4274-9132-9E09A23B9796}"/>
    <hyperlink ref="A44" r:id="rId53" display="https://ozflux.org.au/monitoringsites/oxford/index.html" xr:uid="{27B6FFB7-86E9-4EA2-8980-08E6C7E86FF5}"/>
    <hyperlink ref="H43" r:id="rId54" display="mailto:HuntJ@landcareresearch.co.nz" xr:uid="{2E6C45CE-037B-49C9-B11A-F9CDEBEB69C9}"/>
    <hyperlink ref="A45" r:id="rId55" display="https://ozflux.org.au/monitoringsites/ridgefield/index.html" xr:uid="{3980BCF3-EA1F-428B-9F6F-28E27F1E039B}"/>
    <hyperlink ref="A46" r:id="rId56" display="https://ozflux.org.au/monitoringsites/ridgefield/index.html" xr:uid="{D5CA9502-2E59-435C-9AE3-3A024C681A9B}"/>
    <hyperlink ref="H45" r:id="rId57" tooltip="Jason Beringer" display="mailto:jason.beringer@uwa.edu.au" xr:uid="{709FB2D4-BA8E-42D2-BD71-006CBEC47D62}"/>
    <hyperlink ref="A47" r:id="rId58" display="https://ozflux.org.au/monitoringsites/robsoncreek/index.html" xr:uid="{B80B4254-1B1B-4947-B8E4-8E9EEDD48067}"/>
    <hyperlink ref="A48" r:id="rId59" display="https://ozflux.org.au/monitoringsites/robsoncreek/index.html" xr:uid="{5C1B6B58-F5EB-47C9-8D15-EC54CB9739A3}"/>
    <hyperlink ref="H47" r:id="rId60" display="mailto:michael.liddell@jcu.edu.au" xr:uid="{C584A04C-2041-4303-874A-B8E94F98FBDA}"/>
    <hyperlink ref="A49" r:id="rId61" display="https://ozflux.org.au/monitoringsites/samford/index.html" xr:uid="{A2C0F379-51C1-450E-A2AA-EF9629758BA6}"/>
    <hyperlink ref="A50" r:id="rId62" display="https://ozflux.org.au/monitoringsites/samford/index.html" xr:uid="{4B570608-13FB-4C7A-9D77-4142450CEA3C}"/>
    <hyperlink ref="A51" r:id="rId63" display="https://ozflux.org.au/monitoringsites/scottfarm/index.html" xr:uid="{7CC4EC8C-FCC4-4F34-B88E-CE9286883058}"/>
    <hyperlink ref="A52" r:id="rId64" display="https://ozflux.org.au/monitoringsites/scottfarm/index.html" xr:uid="{207F788C-E737-4B30-B8A6-04EE369BBB0B}"/>
    <hyperlink ref="H51" r:id="rId65" display="mailto:davec@waikato.ac.nz" xr:uid="{FB081100-0B9F-4A9D-A453-D21EB6628969}"/>
    <hyperlink ref="H52" r:id="rId66" display="mailto:schipper@waikato.ac.nz" xr:uid="{D9B65283-A53E-4F88-8665-D6961EEF4E41}"/>
    <hyperlink ref="A53" r:id="rId67" display="https://ozflux.org.au/monitoringsites/silverplains/index.html" xr:uid="{3C6B1E3C-FB47-468F-97E7-C67A8E3B08C8}"/>
    <hyperlink ref="A54" r:id="rId68" display="https://ozflux.org.au/monitoringsites/silverplains/index.html" xr:uid="{2F797CF0-C119-4314-8228-7E42DB77E919}"/>
    <hyperlink ref="H53" r:id="rId69" display="mailto:mark.hovenden@utas.edu.au" xr:uid="{EA05E7EE-E596-4201-AE7A-FD6E1CA302EB}"/>
    <hyperlink ref="A55" r:id="rId70" display="https://ozflux.org.au/monitoringsites/sturtplains/index.html" xr:uid="{9E592C37-638F-4C01-99D5-F2BCA6B83081}"/>
    <hyperlink ref="A56" r:id="rId71" display="https://ozflux.org.au/monitoringsites/sturtplains/index.html" xr:uid="{C88EF290-9559-4683-91CE-AD154512C32C}"/>
    <hyperlink ref="H55" r:id="rId72" tooltip="Jason Beringer" display="mailto:jason.beringer@uwa.edu.au" xr:uid="{6498BA57-E0A2-46D9-A0B6-B20C299BD245}"/>
    <hyperlink ref="H56" r:id="rId73" display="mailto:Lindsay.Hutley@cdu.edu.au" xr:uid="{8F323B29-79DD-447C-9441-60AD0316D4A6}"/>
    <hyperlink ref="A58" r:id="rId74" display="https://ozflux.org.au/monitoringsites/titreeeast/index.html" xr:uid="{E522A43A-1A6B-4210-965C-44155AB24244}"/>
    <hyperlink ref="A59" r:id="rId75" display="https://ozflux.org.au/monitoringsites/titreeeast/index.html" xr:uid="{FCC4808F-4E82-4F56-B798-6661C0957266}"/>
    <hyperlink ref="H58" r:id="rId76" display="mailto:dr.jr.cleverly@gmail.com" xr:uid="{8070315C-8362-42FB-BB20-BB57A41818CC}"/>
    <hyperlink ref="A60" r:id="rId77" display="https://ozflux.org.au/monitoringsites/tumbarumba/index.html" xr:uid="{44B0AA5A-6545-4E85-AB66-6D6193A675F8}"/>
    <hyperlink ref="A61" r:id="rId78" display="https://ozflux.org.au/monitoringsites/tumbarumba/index.html" xr:uid="{FFD00CE3-CBF2-47F3-B2C7-F9EBC354F1EA}"/>
    <hyperlink ref="H60" r:id="rId79" display="mailto:w.woodgate@uq.edu.au" xr:uid="{B95E7D95-39CE-4A08-A077-35C726D93478}"/>
    <hyperlink ref="A62" r:id="rId80" display="https://ozflux.org.au/monitoringsites/warra/index.html" xr:uid="{2FE2D114-6DF5-4BA4-B537-7ADFE328BDD2}"/>
    <hyperlink ref="A63" r:id="rId81" display="https://ozflux.org.au/monitoringsites/warra/index.html" xr:uid="{937D822F-3BEA-4057-8C37-95E7B7E2AF00}"/>
    <hyperlink ref="H62" r:id="rId82" display="mailto:timothy.wardlaw@utas.edu.au" xr:uid="{27534415-B805-4B71-99D8-5384EA85BC31}"/>
    <hyperlink ref="H63" r:id="rId83" display="mailto:Alison.Phillips@sttas.com.au" xr:uid="{782E1528-4650-42C6-AFE8-249A6F51D735}"/>
    <hyperlink ref="A64" r:id="rId84" display="https://ozflux.org.au/monitoringsites/whroo/index.html" xr:uid="{791CA069-EFD1-4617-8CD8-702C783B874F}"/>
    <hyperlink ref="A65" r:id="rId85" display="https://ozflux.org.au/monitoringsites/whroo/index.html" xr:uid="{91D0E771-797B-4A86-AB5B-06442186CAF5}"/>
    <hyperlink ref="H64" r:id="rId86" display="mailto:jason.beringer@uwa.edu.au" xr:uid="{256B3732-D010-476E-AFDF-6CF136386AE3}"/>
    <hyperlink ref="H65" r:id="rId87" display="mailto:sarndt@unimelb.edu.au" xr:uid="{6B6FF620-7016-4429-8452-EA101802C7BE}"/>
    <hyperlink ref="A66" r:id="rId88" display="https://ozflux.org.au/monitoringsites/wombat/index.html" xr:uid="{22114863-1719-4321-A863-70A0FDA551B1}"/>
    <hyperlink ref="A67" r:id="rId89" display="https://ozflux.org.au/monitoringsites/wombat/index.html" xr:uid="{71FF9A7E-A3F5-4A43-A771-C4463A095811}"/>
    <hyperlink ref="H66" r:id="rId90" display="mailto:sarndt@unimelb.edu.au" xr:uid="{E59E7A5A-1E6E-4E10-A6F9-32DA790D6B29}"/>
    <hyperlink ref="H67" r:id="rId91" display="mailto:n.hinkonajera@unimelb.edu.au" xr:uid="{1B2D7472-BF00-4BFF-ABCD-FD9B57BE6051}"/>
    <hyperlink ref="A71" r:id="rId92" display="https://ozflux.org.au/monitoringsites/yanco/index.html" xr:uid="{C4B314AF-2D80-4A62-BBDC-6380C2068B45}"/>
    <hyperlink ref="A72" r:id="rId93" display="https://ozflux.org.au/monitoringsites/yanco/index.html" xr:uid="{3748CE50-5AB4-4F7A-A543-A5CA697BABD9}"/>
    <hyperlink ref="H71" r:id="rId94" display="mailto:jason.beringer@uwa.edu.au" xr:uid="{3F5BA691-18FF-42FB-87F7-54A8E83ACD05}"/>
    <hyperlink ref="A73" r:id="rId95" display="https://ozflux.org.au/monitoringsites/yarramundi/index.html" xr:uid="{F6EFBAED-B67E-4D43-9CA9-28B302E88AC0}"/>
    <hyperlink ref="H73" r:id="rId96" display="mailto:E.Pendall@westernsydney.edu.au" xr:uid="{4305D137-4105-4DA3-8940-FF35A9307A72}"/>
    <hyperlink ref="I34" r:id="rId97" xr:uid="{13BEFFA2-7EAC-4158-B136-938228E9752B}"/>
  </hyperlinks>
  <pageMargins left="0.7" right="0.7" top="0.75" bottom="0.75" header="0.3" footer="0.3"/>
  <pageSetup paperSize="9" orientation="portrait" r:id="rId9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9FAA-15FF-4334-9E7B-84714FB7EC86}">
  <dimension ref="A1:F79"/>
  <sheetViews>
    <sheetView topLeftCell="A25" workbookViewId="0">
      <selection activeCell="D42" sqref="D4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311</v>
      </c>
      <c r="E1" t="s">
        <v>312</v>
      </c>
      <c r="F1" t="s">
        <v>3706</v>
      </c>
    </row>
    <row r="2" spans="1:6" x14ac:dyDescent="0.25">
      <c r="A2" t="s">
        <v>151</v>
      </c>
      <c r="B2" t="s">
        <v>285</v>
      </c>
      <c r="C2" s="5" t="s">
        <v>309</v>
      </c>
      <c r="D2">
        <v>4.7462020000000003</v>
      </c>
      <c r="E2">
        <v>50.551338000000001</v>
      </c>
      <c r="F2" t="str">
        <f>_xlfn.CONCAT("https://meta.icos-cp.eu/resources/stations/ES_",A2)</f>
        <v>https://meta.icos-cp.eu/resources/stations/ES_BE-Lon</v>
      </c>
    </row>
    <row r="3" spans="1:6" x14ac:dyDescent="0.25">
      <c r="A3" t="s">
        <v>169</v>
      </c>
      <c r="B3" t="s">
        <v>291</v>
      </c>
      <c r="C3" s="5" t="s">
        <v>309</v>
      </c>
      <c r="D3" s="3">
        <v>12.176111000000001</v>
      </c>
      <c r="E3" s="3">
        <v>54.210278000000002</v>
      </c>
      <c r="F3" t="str">
        <f t="shared" ref="F3:F66" si="0">_xlfn.CONCAT("https://meta.icos-cp.eu/resources/stations/ES_",A3)</f>
        <v>https://meta.icos-cp.eu/resources/stations/ES_DE-Hte</v>
      </c>
    </row>
    <row r="4" spans="1:6" x14ac:dyDescent="0.25">
      <c r="A4" t="s">
        <v>186</v>
      </c>
      <c r="B4" t="s">
        <v>252</v>
      </c>
      <c r="C4" s="5" t="s">
        <v>309</v>
      </c>
      <c r="D4" s="3">
        <v>3.0206499999999998</v>
      </c>
      <c r="E4" s="3">
        <v>49.872109999999999</v>
      </c>
      <c r="F4" t="str">
        <f t="shared" si="0"/>
        <v>https://meta.icos-cp.eu/resources/stations/ES_FR-EM2</v>
      </c>
    </row>
    <row r="5" spans="1:6" x14ac:dyDescent="0.25">
      <c r="A5" t="s">
        <v>193</v>
      </c>
      <c r="B5" t="s">
        <v>284</v>
      </c>
      <c r="C5" s="5" t="s">
        <v>309</v>
      </c>
      <c r="D5" s="4">
        <v>5.7435499999999999</v>
      </c>
      <c r="E5" s="4">
        <v>52.166446999999998</v>
      </c>
      <c r="F5" t="str">
        <f t="shared" si="0"/>
        <v>https://meta.icos-cp.eu/resources/stations/ES_NL-Loo</v>
      </c>
    </row>
    <row r="6" spans="1:6" x14ac:dyDescent="0.25">
      <c r="A6" t="s">
        <v>198</v>
      </c>
      <c r="B6" t="s">
        <v>295</v>
      </c>
      <c r="C6" s="5" t="s">
        <v>309</v>
      </c>
      <c r="D6" s="4">
        <v>13.10177</v>
      </c>
      <c r="E6" s="4">
        <v>58.340629999999997</v>
      </c>
      <c r="F6" t="str">
        <f t="shared" si="0"/>
        <v>https://meta.icos-cp.eu/resources/stations/ES_SE-Lnn</v>
      </c>
    </row>
    <row r="7" spans="1:6" x14ac:dyDescent="0.25">
      <c r="A7" t="s">
        <v>150</v>
      </c>
      <c r="B7" t="s">
        <v>297</v>
      </c>
      <c r="C7" s="6" t="s">
        <v>310</v>
      </c>
      <c r="D7">
        <v>4.5200979999999999</v>
      </c>
      <c r="E7">
        <v>51.307009999999998</v>
      </c>
      <c r="F7" t="str">
        <f t="shared" si="0"/>
        <v>https://meta.icos-cp.eu/resources/stations/ES_BE-Bra</v>
      </c>
    </row>
    <row r="8" spans="1:6" x14ac:dyDescent="0.25">
      <c r="A8" t="s">
        <v>202</v>
      </c>
      <c r="B8" t="s">
        <v>270</v>
      </c>
      <c r="C8" s="6" t="s">
        <v>310</v>
      </c>
      <c r="D8">
        <v>4.9681129999999998</v>
      </c>
      <c r="E8">
        <v>50.311874000000003</v>
      </c>
      <c r="F8" t="str">
        <f t="shared" si="0"/>
        <v>https://meta.icos-cp.eu/resources/stations/ES_BE-Dor</v>
      </c>
    </row>
    <row r="9" spans="1:6" x14ac:dyDescent="0.25">
      <c r="A9" t="s">
        <v>203</v>
      </c>
      <c r="B9" t="s">
        <v>229</v>
      </c>
      <c r="C9" s="6" t="s">
        <v>310</v>
      </c>
      <c r="D9">
        <v>3.8504299999999998</v>
      </c>
      <c r="E9">
        <v>51.112180000000002</v>
      </c>
      <c r="F9" t="str">
        <f t="shared" si="0"/>
        <v>https://meta.icos-cp.eu/resources/stations/ES_BE-Lcr</v>
      </c>
    </row>
    <row r="10" spans="1:6" x14ac:dyDescent="0.25">
      <c r="A10" t="s">
        <v>151</v>
      </c>
      <c r="B10" t="s">
        <v>298</v>
      </c>
      <c r="C10" s="6" t="s">
        <v>310</v>
      </c>
      <c r="D10">
        <v>4.7462020000000003</v>
      </c>
      <c r="E10">
        <v>50.551338000000001</v>
      </c>
      <c r="F10" t="str">
        <f t="shared" si="0"/>
        <v>https://meta.icos-cp.eu/resources/stations/ES_BE-Lon</v>
      </c>
    </row>
    <row r="11" spans="1:6" x14ac:dyDescent="0.25">
      <c r="A11" t="s">
        <v>204</v>
      </c>
      <c r="B11" t="s">
        <v>239</v>
      </c>
      <c r="C11" s="6" t="s">
        <v>310</v>
      </c>
      <c r="D11">
        <v>5.6308350000000003</v>
      </c>
      <c r="E11">
        <v>50.980054000000003</v>
      </c>
      <c r="F11" t="str">
        <f t="shared" si="0"/>
        <v>https://meta.icos-cp.eu/resources/stations/ES_BE-Maa</v>
      </c>
    </row>
    <row r="12" spans="1:6" x14ac:dyDescent="0.25">
      <c r="A12" t="s">
        <v>152</v>
      </c>
      <c r="B12" t="s">
        <v>297</v>
      </c>
      <c r="C12" s="6" t="s">
        <v>310</v>
      </c>
      <c r="D12">
        <v>5.99871</v>
      </c>
      <c r="E12">
        <v>50.306918000000003</v>
      </c>
      <c r="F12" t="str">
        <f t="shared" si="0"/>
        <v>https://meta.icos-cp.eu/resources/stations/ES_BE-Vie</v>
      </c>
    </row>
    <row r="13" spans="1:6" x14ac:dyDescent="0.25">
      <c r="A13" t="s">
        <v>153</v>
      </c>
      <c r="B13" t="s">
        <v>299</v>
      </c>
      <c r="C13" s="6" t="s">
        <v>310</v>
      </c>
      <c r="D13">
        <v>9.7904169999999997</v>
      </c>
      <c r="E13">
        <v>46.583306</v>
      </c>
      <c r="F13" t="str">
        <f t="shared" si="0"/>
        <v>https://meta.icos-cp.eu/resources/stations/ES_CH-Aws</v>
      </c>
    </row>
    <row r="14" spans="1:6" x14ac:dyDescent="0.25">
      <c r="A14" t="s">
        <v>154</v>
      </c>
      <c r="B14" t="s">
        <v>247</v>
      </c>
      <c r="C14" s="6" t="s">
        <v>310</v>
      </c>
      <c r="D14">
        <v>8.4104399999999995</v>
      </c>
      <c r="E14">
        <v>47.21022</v>
      </c>
      <c r="F14" t="str">
        <f t="shared" si="0"/>
        <v>https://meta.icos-cp.eu/resources/stations/ES_CH-Cha</v>
      </c>
    </row>
    <row r="15" spans="1:6" x14ac:dyDescent="0.25">
      <c r="A15" t="s">
        <v>155</v>
      </c>
      <c r="B15" t="s">
        <v>300</v>
      </c>
      <c r="C15" s="6" t="s">
        <v>310</v>
      </c>
      <c r="D15">
        <v>9.8559099999999997</v>
      </c>
      <c r="E15">
        <v>46.815330000000003</v>
      </c>
      <c r="F15" t="str">
        <f t="shared" si="0"/>
        <v>https://meta.icos-cp.eu/resources/stations/ES_CH-Dav</v>
      </c>
    </row>
    <row r="16" spans="1:6" x14ac:dyDescent="0.25">
      <c r="A16" t="s">
        <v>156</v>
      </c>
      <c r="B16" t="s">
        <v>247</v>
      </c>
      <c r="C16" s="6" t="s">
        <v>310</v>
      </c>
      <c r="D16">
        <v>8.5377799999999997</v>
      </c>
      <c r="E16">
        <v>47.115830000000003</v>
      </c>
      <c r="F16" t="str">
        <f t="shared" si="0"/>
        <v>https://meta.icos-cp.eu/resources/stations/ES_CH-Fru</v>
      </c>
    </row>
    <row r="17" spans="1:6" x14ac:dyDescent="0.25">
      <c r="A17" t="s">
        <v>157</v>
      </c>
      <c r="B17" t="s">
        <v>298</v>
      </c>
      <c r="C17" s="6" t="s">
        <v>310</v>
      </c>
      <c r="D17">
        <v>8.3650000000000002</v>
      </c>
      <c r="E17">
        <v>47.478079999999999</v>
      </c>
      <c r="F17" t="str">
        <f t="shared" si="0"/>
        <v>https://meta.icos-cp.eu/resources/stations/ES_CH-Lae</v>
      </c>
    </row>
    <row r="18" spans="1:6" x14ac:dyDescent="0.25">
      <c r="A18" t="s">
        <v>158</v>
      </c>
      <c r="B18" t="s">
        <v>298</v>
      </c>
      <c r="C18" s="6" t="s">
        <v>310</v>
      </c>
      <c r="D18">
        <v>7.7343299999999999</v>
      </c>
      <c r="E18">
        <v>47.28631</v>
      </c>
      <c r="F18" t="str">
        <f t="shared" si="0"/>
        <v>https://meta.icos-cp.eu/resources/stations/ES_CH-Oe2</v>
      </c>
    </row>
    <row r="19" spans="1:6" x14ac:dyDescent="0.25">
      <c r="A19" t="s">
        <v>159</v>
      </c>
      <c r="B19" t="s">
        <v>298</v>
      </c>
      <c r="C19" s="6" t="s">
        <v>310</v>
      </c>
      <c r="D19">
        <v>18.536881999999999</v>
      </c>
      <c r="E19">
        <v>49.502074999999998</v>
      </c>
      <c r="F19" t="str">
        <f t="shared" si="0"/>
        <v>https://meta.icos-cp.eu/resources/stations/ES_CZ-BK1</v>
      </c>
    </row>
    <row r="20" spans="1:6" x14ac:dyDescent="0.25">
      <c r="A20" t="s">
        <v>205</v>
      </c>
      <c r="B20" t="s">
        <v>230</v>
      </c>
      <c r="C20" s="6" t="s">
        <v>310</v>
      </c>
      <c r="D20">
        <v>15.078773</v>
      </c>
      <c r="E20">
        <v>49.573256999999998</v>
      </c>
      <c r="F20" t="str">
        <f t="shared" si="0"/>
        <v>https://meta.icos-cp.eu/resources/stations/ES_CZ-KrP</v>
      </c>
    </row>
    <row r="21" spans="1:6" x14ac:dyDescent="0.25">
      <c r="A21" t="s">
        <v>160</v>
      </c>
      <c r="B21" t="s">
        <v>231</v>
      </c>
      <c r="C21" s="6" t="s">
        <v>310</v>
      </c>
      <c r="D21">
        <v>16.946331000000001</v>
      </c>
      <c r="E21">
        <v>48.681550000000001</v>
      </c>
      <c r="F21" t="str">
        <f t="shared" si="0"/>
        <v>https://meta.icos-cp.eu/resources/stations/ES_CZ-Lnz</v>
      </c>
    </row>
    <row r="22" spans="1:6" x14ac:dyDescent="0.25">
      <c r="A22" t="s">
        <v>161</v>
      </c>
      <c r="B22" t="s">
        <v>301</v>
      </c>
      <c r="C22" s="6" t="s">
        <v>310</v>
      </c>
      <c r="D22">
        <v>16.696512500000001</v>
      </c>
      <c r="E22">
        <v>49.443723599999998</v>
      </c>
      <c r="F22" t="str">
        <f t="shared" si="0"/>
        <v>https://meta.icos-cp.eu/resources/stations/ES_CZ-RAJ</v>
      </c>
    </row>
    <row r="23" spans="1:6" x14ac:dyDescent="0.25">
      <c r="A23" t="s">
        <v>162</v>
      </c>
      <c r="B23" t="s">
        <v>255</v>
      </c>
      <c r="C23" s="6" t="s">
        <v>310</v>
      </c>
      <c r="D23">
        <v>17.969899999999999</v>
      </c>
      <c r="E23">
        <v>49.035975000000001</v>
      </c>
      <c r="F23" t="str">
        <f t="shared" si="0"/>
        <v>https://meta.icos-cp.eu/resources/stations/ES_CZ-Stn</v>
      </c>
    </row>
    <row r="24" spans="1:6" x14ac:dyDescent="0.25">
      <c r="A24" t="s">
        <v>163</v>
      </c>
      <c r="B24" t="s">
        <v>299</v>
      </c>
      <c r="C24" s="6" t="s">
        <v>310</v>
      </c>
      <c r="D24">
        <v>14.770350000000001</v>
      </c>
      <c r="E24">
        <v>49.024650000000001</v>
      </c>
      <c r="F24" t="str">
        <f t="shared" si="0"/>
        <v>https://meta.icos-cp.eu/resources/stations/ES_CZ-wet</v>
      </c>
    </row>
    <row r="25" spans="1:6" x14ac:dyDescent="0.25">
      <c r="A25" t="s">
        <v>164</v>
      </c>
      <c r="B25" t="s">
        <v>302</v>
      </c>
      <c r="C25" s="6" t="s">
        <v>310</v>
      </c>
      <c r="D25">
        <v>13.68342</v>
      </c>
      <c r="E25">
        <v>53.866169999999997</v>
      </c>
      <c r="F25" t="str">
        <f t="shared" si="0"/>
        <v>https://meta.icos-cp.eu/resources/stations/ES_DE-Akm</v>
      </c>
    </row>
    <row r="26" spans="1:6" x14ac:dyDescent="0.25">
      <c r="A26" t="s">
        <v>165</v>
      </c>
      <c r="B26" t="s">
        <v>263</v>
      </c>
      <c r="C26" s="6" t="s">
        <v>310</v>
      </c>
      <c r="D26">
        <v>10.914529999999999</v>
      </c>
      <c r="E26">
        <v>51.099850000000004</v>
      </c>
      <c r="F26" t="str">
        <f t="shared" si="0"/>
        <v>https://meta.icos-cp.eu/resources/stations/ES_DE-Geb</v>
      </c>
    </row>
    <row r="27" spans="1:6" x14ac:dyDescent="0.25">
      <c r="A27" t="s">
        <v>166</v>
      </c>
      <c r="B27" t="s">
        <v>298</v>
      </c>
      <c r="C27" s="6" t="s">
        <v>310</v>
      </c>
      <c r="D27">
        <v>13.512589999999999</v>
      </c>
      <c r="E27">
        <v>50.950040000000001</v>
      </c>
      <c r="F27" t="str">
        <f t="shared" si="0"/>
        <v>https://meta.icos-cp.eu/resources/stations/ES_DE-Gri</v>
      </c>
    </row>
    <row r="28" spans="1:6" x14ac:dyDescent="0.25">
      <c r="A28" t="s">
        <v>167</v>
      </c>
      <c r="B28" t="s">
        <v>303</v>
      </c>
      <c r="C28" s="6" t="s">
        <v>310</v>
      </c>
      <c r="D28">
        <v>10.452089000000001</v>
      </c>
      <c r="E28">
        <v>51.079407000000003</v>
      </c>
      <c r="F28" t="str">
        <f t="shared" si="0"/>
        <v>https://meta.icos-cp.eu/resources/stations/ES_DE-Hai</v>
      </c>
    </row>
    <row r="29" spans="1:6" x14ac:dyDescent="0.25">
      <c r="A29" t="s">
        <v>168</v>
      </c>
      <c r="B29" t="s">
        <v>231</v>
      </c>
      <c r="C29" s="6" t="s">
        <v>310</v>
      </c>
      <c r="D29">
        <v>11.221911</v>
      </c>
      <c r="E29">
        <v>52.086370000000002</v>
      </c>
      <c r="F29" t="str">
        <f t="shared" si="0"/>
        <v>https://meta.icos-cp.eu/resources/stations/ES_DE-HoH</v>
      </c>
    </row>
    <row r="30" spans="1:6" x14ac:dyDescent="0.25">
      <c r="A30" t="s">
        <v>170</v>
      </c>
      <c r="B30" t="s">
        <v>255</v>
      </c>
      <c r="C30" s="6" t="s">
        <v>310</v>
      </c>
      <c r="D30">
        <v>13.48978</v>
      </c>
      <c r="E30">
        <v>50.963810000000002</v>
      </c>
      <c r="F30" t="str">
        <f t="shared" si="0"/>
        <v>https://meta.icos-cp.eu/resources/stations/ES_DE-Hzd</v>
      </c>
    </row>
    <row r="31" spans="1:6" x14ac:dyDescent="0.25">
      <c r="A31" t="s">
        <v>171</v>
      </c>
      <c r="B31" t="s">
        <v>298</v>
      </c>
      <c r="C31" s="6" t="s">
        <v>310</v>
      </c>
      <c r="D31">
        <v>13.52238</v>
      </c>
      <c r="E31">
        <v>50.893059999999998</v>
      </c>
      <c r="F31" t="str">
        <f t="shared" si="0"/>
        <v>https://meta.icos-cp.eu/resources/stations/ES_DE-Kli</v>
      </c>
    </row>
    <row r="32" spans="1:6" x14ac:dyDescent="0.25">
      <c r="A32" t="s">
        <v>172</v>
      </c>
      <c r="B32" t="s">
        <v>246</v>
      </c>
      <c r="C32" s="6" t="s">
        <v>310</v>
      </c>
      <c r="D32">
        <v>13.72129</v>
      </c>
      <c r="E32">
        <v>50.786659999999998</v>
      </c>
      <c r="F32" t="str">
        <f t="shared" si="0"/>
        <v>https://meta.icos-cp.eu/resources/stations/ES_DE-Obe</v>
      </c>
    </row>
    <row r="33" spans="1:6" x14ac:dyDescent="0.25">
      <c r="A33" t="s">
        <v>173</v>
      </c>
      <c r="B33" t="s">
        <v>270</v>
      </c>
      <c r="C33" s="6" t="s">
        <v>310</v>
      </c>
      <c r="D33">
        <v>6.3041260000000001</v>
      </c>
      <c r="E33">
        <v>50.621913999999997</v>
      </c>
      <c r="F33" t="str">
        <f t="shared" si="0"/>
        <v>https://meta.icos-cp.eu/resources/stations/ES_DE-RuR</v>
      </c>
    </row>
    <row r="34" spans="1:6" x14ac:dyDescent="0.25">
      <c r="A34" t="s">
        <v>174</v>
      </c>
      <c r="B34" t="s">
        <v>270</v>
      </c>
      <c r="C34" s="6" t="s">
        <v>310</v>
      </c>
      <c r="D34">
        <v>6.447076</v>
      </c>
      <c r="E34">
        <v>50.866033000000002</v>
      </c>
      <c r="F34" t="str">
        <f t="shared" si="0"/>
        <v>https://meta.icos-cp.eu/resources/stations/ES_DE-RuS</v>
      </c>
    </row>
    <row r="35" spans="1:6" x14ac:dyDescent="0.25">
      <c r="A35" t="s">
        <v>175</v>
      </c>
      <c r="B35" t="s">
        <v>301</v>
      </c>
      <c r="C35" s="6" t="s">
        <v>310</v>
      </c>
      <c r="D35">
        <v>6.3309626999999997</v>
      </c>
      <c r="E35">
        <v>50.504930000000002</v>
      </c>
      <c r="F35" t="str">
        <f t="shared" si="0"/>
        <v>https://meta.icos-cp.eu/resources/stations/ES_DE-RuW</v>
      </c>
    </row>
    <row r="36" spans="1:6" x14ac:dyDescent="0.25">
      <c r="A36" t="s">
        <v>176</v>
      </c>
      <c r="B36" t="s">
        <v>297</v>
      </c>
      <c r="C36" s="6" t="s">
        <v>310</v>
      </c>
      <c r="D36">
        <v>13.565149999999999</v>
      </c>
      <c r="E36">
        <v>50.962560000000003</v>
      </c>
      <c r="F36" t="str">
        <f t="shared" si="0"/>
        <v>https://meta.icos-cp.eu/resources/stations/ES_DE-Tha</v>
      </c>
    </row>
    <row r="37" spans="1:6" x14ac:dyDescent="0.25">
      <c r="A37" t="s">
        <v>206</v>
      </c>
      <c r="B37" t="s">
        <v>304</v>
      </c>
      <c r="C37" s="6" t="s">
        <v>310</v>
      </c>
      <c r="D37">
        <v>9.3340999999999994</v>
      </c>
      <c r="E37">
        <v>56.073700000000002</v>
      </c>
      <c r="F37" t="str">
        <f t="shared" si="0"/>
        <v>https://meta.icos-cp.eu/resources/stations/ES_DK-Gds</v>
      </c>
    </row>
    <row r="38" spans="1:6" x14ac:dyDescent="0.25">
      <c r="A38" t="s">
        <v>177</v>
      </c>
      <c r="B38" t="s">
        <v>297</v>
      </c>
      <c r="C38" s="6" t="s">
        <v>310</v>
      </c>
      <c r="D38">
        <v>11.645206999999999</v>
      </c>
      <c r="E38">
        <v>55.486286</v>
      </c>
      <c r="F38" t="str">
        <f t="shared" si="0"/>
        <v>https://meta.icos-cp.eu/resources/stations/ES_DK-Sor</v>
      </c>
    </row>
    <row r="39" spans="1:6" x14ac:dyDescent="0.25">
      <c r="A39" t="s">
        <v>178</v>
      </c>
      <c r="B39" t="s">
        <v>231</v>
      </c>
      <c r="C39" s="6" t="s">
        <v>310</v>
      </c>
      <c r="D39">
        <v>-6.7858809999999998</v>
      </c>
      <c r="E39">
        <v>38.701839</v>
      </c>
      <c r="F39" t="str">
        <f t="shared" si="0"/>
        <v>https://meta.icos-cp.eu/resources/stations/ES_ES-Abr</v>
      </c>
    </row>
    <row r="40" spans="1:6" x14ac:dyDescent="0.25">
      <c r="A40" t="s">
        <v>207</v>
      </c>
      <c r="B40" t="s">
        <v>299</v>
      </c>
      <c r="C40" s="6" t="s">
        <v>310</v>
      </c>
      <c r="D40">
        <v>-2.0332080000000001</v>
      </c>
      <c r="E40">
        <v>36.940046000000002</v>
      </c>
      <c r="F40" t="str">
        <f t="shared" si="0"/>
        <v>https://meta.icos-cp.eu/resources/stations/ES_ES-Agu</v>
      </c>
    </row>
    <row r="41" spans="1:6" x14ac:dyDescent="0.25">
      <c r="A41" t="s">
        <v>208</v>
      </c>
      <c r="B41" t="s">
        <v>230</v>
      </c>
      <c r="C41" s="6" t="s">
        <v>310</v>
      </c>
      <c r="D41">
        <v>-3.2276590000000001</v>
      </c>
      <c r="E41">
        <v>37.914997999999997</v>
      </c>
      <c r="F41" t="str">
        <f t="shared" si="0"/>
        <v>https://meta.icos-cp.eu/resources/stations/ES_ES-Cnd</v>
      </c>
    </row>
    <row r="42" spans="1:6" x14ac:dyDescent="0.25">
      <c r="A42" t="s">
        <v>209</v>
      </c>
      <c r="B42" t="s">
        <v>298</v>
      </c>
      <c r="C42" s="6" t="s">
        <v>310</v>
      </c>
      <c r="D42">
        <v>-2.7521149999999999</v>
      </c>
      <c r="E42">
        <v>36.926594000000001</v>
      </c>
      <c r="F42" t="str">
        <f t="shared" si="0"/>
        <v>https://meta.icos-cp.eu/resources/stations/ES_ES-LJu</v>
      </c>
    </row>
    <row r="43" spans="1:6" x14ac:dyDescent="0.25">
      <c r="A43" t="s">
        <v>179</v>
      </c>
      <c r="B43" t="s">
        <v>230</v>
      </c>
      <c r="C43" s="6" t="s">
        <v>310</v>
      </c>
      <c r="D43">
        <v>-5.778683</v>
      </c>
      <c r="E43">
        <v>39.942689999999999</v>
      </c>
      <c r="F43" t="str">
        <f t="shared" si="0"/>
        <v>https://meta.icos-cp.eu/resources/stations/ES_ES-LM1</v>
      </c>
    </row>
    <row r="44" spans="1:6" x14ac:dyDescent="0.25">
      <c r="A44" t="s">
        <v>180</v>
      </c>
      <c r="B44" t="s">
        <v>230</v>
      </c>
      <c r="C44" s="6" t="s">
        <v>310</v>
      </c>
      <c r="D44">
        <v>-5.775881</v>
      </c>
      <c r="E44">
        <v>39.934592000000002</v>
      </c>
      <c r="F44" t="str">
        <f t="shared" si="0"/>
        <v>https://meta.icos-cp.eu/resources/stations/ES_ES-LM2</v>
      </c>
    </row>
    <row r="45" spans="1:6" x14ac:dyDescent="0.25">
      <c r="A45" t="s">
        <v>181</v>
      </c>
      <c r="B45" t="s">
        <v>297</v>
      </c>
      <c r="C45" s="6" t="s">
        <v>310</v>
      </c>
      <c r="D45">
        <v>24.293970999999999</v>
      </c>
      <c r="E45">
        <v>61.847718999999998</v>
      </c>
      <c r="F45" t="str">
        <f t="shared" si="0"/>
        <v>https://meta.icos-cp.eu/resources/stations/ES_FI-Hyy</v>
      </c>
    </row>
    <row r="46" spans="1:6" x14ac:dyDescent="0.25">
      <c r="A46" t="s">
        <v>210</v>
      </c>
      <c r="B46" t="s">
        <v>267</v>
      </c>
      <c r="C46" s="6" t="s">
        <v>310</v>
      </c>
      <c r="D46">
        <v>24.243010000000002</v>
      </c>
      <c r="E46">
        <v>67.987210000000005</v>
      </c>
      <c r="F46" t="str">
        <f t="shared" si="0"/>
        <v>https://meta.icos-cp.eu/resources/stations/ES_FI-Ken</v>
      </c>
    </row>
    <row r="47" spans="1:6" x14ac:dyDescent="0.25">
      <c r="A47" t="s">
        <v>182</v>
      </c>
      <c r="B47" t="s">
        <v>302</v>
      </c>
      <c r="C47" s="6" t="s">
        <v>310</v>
      </c>
      <c r="D47">
        <v>23.959520000000001</v>
      </c>
      <c r="E47">
        <v>60.641829999999999</v>
      </c>
      <c r="F47" t="str">
        <f t="shared" si="0"/>
        <v>https://meta.icos-cp.eu/resources/stations/ES_FI-Let</v>
      </c>
    </row>
    <row r="48" spans="1:6" x14ac:dyDescent="0.25">
      <c r="A48" t="s">
        <v>211</v>
      </c>
      <c r="B48" t="s">
        <v>267</v>
      </c>
      <c r="C48" s="6" t="s">
        <v>310</v>
      </c>
      <c r="D48">
        <v>22.391607</v>
      </c>
      <c r="E48">
        <v>60.295242000000002</v>
      </c>
      <c r="F48" t="str">
        <f t="shared" si="0"/>
        <v>https://meta.icos-cp.eu/resources/stations/ES_FI-Qvd</v>
      </c>
    </row>
    <row r="49" spans="1:6" x14ac:dyDescent="0.25">
      <c r="A49" t="s">
        <v>183</v>
      </c>
      <c r="B49" t="s">
        <v>239</v>
      </c>
      <c r="C49" s="6" t="s">
        <v>310</v>
      </c>
      <c r="D49">
        <v>24.192274999999999</v>
      </c>
      <c r="E49">
        <v>61.833143</v>
      </c>
      <c r="F49" t="str">
        <f t="shared" si="0"/>
        <v>https://meta.icos-cp.eu/resources/stations/ES_FI-Sii</v>
      </c>
    </row>
    <row r="50" spans="1:6" x14ac:dyDescent="0.25">
      <c r="A50" t="s">
        <v>184</v>
      </c>
      <c r="B50" t="s">
        <v>239</v>
      </c>
      <c r="C50" s="6" t="s">
        <v>310</v>
      </c>
      <c r="D50">
        <v>29.61</v>
      </c>
      <c r="E50">
        <v>67.754900000000006</v>
      </c>
      <c r="F50" t="str">
        <f t="shared" si="0"/>
        <v>https://meta.icos-cp.eu/resources/stations/ES_FI-Var</v>
      </c>
    </row>
    <row r="51" spans="1:6" x14ac:dyDescent="0.25">
      <c r="A51" t="s">
        <v>212</v>
      </c>
      <c r="B51" t="s">
        <v>247</v>
      </c>
      <c r="C51" s="6" t="s">
        <v>310</v>
      </c>
      <c r="D51">
        <v>1.1061030000000001</v>
      </c>
      <c r="E51">
        <v>43.54965</v>
      </c>
      <c r="F51" t="str">
        <f t="shared" si="0"/>
        <v>https://meta.icos-cp.eu/resources/stations/ES_FR-Aur</v>
      </c>
    </row>
    <row r="52" spans="1:6" x14ac:dyDescent="0.25">
      <c r="A52" t="s">
        <v>185</v>
      </c>
      <c r="B52" t="s">
        <v>230</v>
      </c>
      <c r="C52" s="6" t="s">
        <v>310</v>
      </c>
      <c r="D52">
        <v>-0.95609200000000005</v>
      </c>
      <c r="E52">
        <v>44.493651999999997</v>
      </c>
      <c r="F52" t="str">
        <f t="shared" si="0"/>
        <v>https://meta.icos-cp.eu/resources/stations/ES_FR-Bil</v>
      </c>
    </row>
    <row r="53" spans="1:6" x14ac:dyDescent="0.25">
      <c r="A53" t="s">
        <v>213</v>
      </c>
      <c r="B53" t="s">
        <v>246</v>
      </c>
      <c r="C53" s="6" t="s">
        <v>310</v>
      </c>
      <c r="D53">
        <v>5.6786500000000002</v>
      </c>
      <c r="E53">
        <v>43.240789999999997</v>
      </c>
      <c r="F53" t="str">
        <f t="shared" si="0"/>
        <v>https://meta.icos-cp.eu/resources/stations/ES_FR-FBn</v>
      </c>
    </row>
    <row r="54" spans="1:6" x14ac:dyDescent="0.25">
      <c r="A54" t="s">
        <v>214</v>
      </c>
      <c r="B54" t="s">
        <v>247</v>
      </c>
      <c r="C54" s="6" t="s">
        <v>310</v>
      </c>
      <c r="D54">
        <v>2.7805580000000001</v>
      </c>
      <c r="E54">
        <v>48.476224999999999</v>
      </c>
      <c r="F54" t="str">
        <f t="shared" si="0"/>
        <v>https://meta.icos-cp.eu/resources/stations/ES_FR-Fon</v>
      </c>
    </row>
    <row r="55" spans="1:6" x14ac:dyDescent="0.25">
      <c r="A55" t="s">
        <v>215</v>
      </c>
      <c r="B55" t="s">
        <v>298</v>
      </c>
      <c r="C55" s="6" t="s">
        <v>310</v>
      </c>
      <c r="D55">
        <v>1.9519299999999999</v>
      </c>
      <c r="E55">
        <v>48.844149999999999</v>
      </c>
      <c r="F55" t="str">
        <f t="shared" si="0"/>
        <v>https://meta.icos-cp.eu/resources/stations/ES_FR-Gri</v>
      </c>
    </row>
    <row r="56" spans="1:6" x14ac:dyDescent="0.25">
      <c r="A56" t="s">
        <v>187</v>
      </c>
      <c r="B56" t="s">
        <v>230</v>
      </c>
      <c r="C56" s="6" t="s">
        <v>310</v>
      </c>
      <c r="D56">
        <v>7.0641540000000003</v>
      </c>
      <c r="E56">
        <v>48.674320000000002</v>
      </c>
      <c r="F56" t="str">
        <f t="shared" si="0"/>
        <v>https://meta.icos-cp.eu/resources/stations/ES_FR-Hes</v>
      </c>
    </row>
    <row r="57" spans="1:6" x14ac:dyDescent="0.25">
      <c r="A57" t="s">
        <v>216</v>
      </c>
      <c r="B57" t="s">
        <v>247</v>
      </c>
      <c r="C57" s="6" t="s">
        <v>310</v>
      </c>
      <c r="D57">
        <v>2.2841019999999999</v>
      </c>
      <c r="E57">
        <v>47.322918000000001</v>
      </c>
      <c r="F57" t="str">
        <f t="shared" si="0"/>
        <v>https://meta.icos-cp.eu/resources/stations/ES_FR-Lam</v>
      </c>
    </row>
    <row r="58" spans="1:6" x14ac:dyDescent="0.25">
      <c r="A58" t="s">
        <v>217</v>
      </c>
      <c r="B58" t="s">
        <v>243</v>
      </c>
      <c r="C58" s="6" t="s">
        <v>310</v>
      </c>
      <c r="D58">
        <v>1.2381770000000001</v>
      </c>
      <c r="E58">
        <v>43.496478000000003</v>
      </c>
      <c r="F58" t="str">
        <f t="shared" si="0"/>
        <v>https://meta.icos-cp.eu/resources/stations/ES_FR-LGt</v>
      </c>
    </row>
    <row r="59" spans="1:6" x14ac:dyDescent="0.25">
      <c r="A59" t="s">
        <v>218</v>
      </c>
      <c r="B59" t="s">
        <v>267</v>
      </c>
      <c r="C59" s="6" t="s">
        <v>310</v>
      </c>
      <c r="D59">
        <v>1.3747400000000001</v>
      </c>
      <c r="E59">
        <v>43.572856999999999</v>
      </c>
      <c r="F59" t="str">
        <f t="shared" si="0"/>
        <v>https://meta.icos-cp.eu/resources/stations/ES_FR-Tou</v>
      </c>
    </row>
    <row r="60" spans="1:6" x14ac:dyDescent="0.25">
      <c r="A60" t="s">
        <v>219</v>
      </c>
      <c r="B60" t="s">
        <v>298</v>
      </c>
      <c r="C60" s="6" t="s">
        <v>310</v>
      </c>
      <c r="D60">
        <v>-52.924799999999998</v>
      </c>
      <c r="E60">
        <v>5.2786999999999997</v>
      </c>
      <c r="F60" t="str">
        <f t="shared" si="0"/>
        <v>https://meta.icos-cp.eu/resources/stations/ES_GF-Guy</v>
      </c>
    </row>
    <row r="61" spans="1:6" x14ac:dyDescent="0.25">
      <c r="A61" t="s">
        <v>220</v>
      </c>
      <c r="B61" t="s">
        <v>304</v>
      </c>
      <c r="C61" s="6" t="s">
        <v>310</v>
      </c>
      <c r="D61">
        <v>-53.514130000000002</v>
      </c>
      <c r="E61">
        <v>69.253489999999999</v>
      </c>
      <c r="F61" t="str">
        <f t="shared" si="0"/>
        <v>https://meta.icos-cp.eu/resources/stations/ES_GL-Dsk</v>
      </c>
    </row>
    <row r="62" spans="1:6" x14ac:dyDescent="0.25">
      <c r="A62" t="s">
        <v>221</v>
      </c>
      <c r="B62" t="s">
        <v>304</v>
      </c>
      <c r="C62" s="6" t="s">
        <v>310</v>
      </c>
      <c r="D62">
        <v>-7.641769</v>
      </c>
      <c r="E62">
        <v>53.322978499999998</v>
      </c>
      <c r="F62" t="str">
        <f t="shared" si="0"/>
        <v>https://meta.icos-cp.eu/resources/stations/ES_IE-Cra</v>
      </c>
    </row>
    <row r="63" spans="1:6" x14ac:dyDescent="0.25">
      <c r="A63" t="s">
        <v>222</v>
      </c>
      <c r="B63" t="s">
        <v>303</v>
      </c>
      <c r="C63" s="6" t="s">
        <v>310</v>
      </c>
      <c r="D63">
        <v>35.051988510000001</v>
      </c>
      <c r="E63">
        <v>31.345044590000001</v>
      </c>
      <c r="F63" t="str">
        <f t="shared" si="0"/>
        <v>https://meta.icos-cp.eu/resources/stations/ES_IL-Yat</v>
      </c>
    </row>
    <row r="64" spans="1:6" x14ac:dyDescent="0.25">
      <c r="A64" t="s">
        <v>188</v>
      </c>
      <c r="B64" t="s">
        <v>298</v>
      </c>
      <c r="C64" s="6" t="s">
        <v>310</v>
      </c>
      <c r="D64">
        <v>14.957169</v>
      </c>
      <c r="E64">
        <v>40.523614000000002</v>
      </c>
      <c r="F64" t="str">
        <f t="shared" si="0"/>
        <v>https://meta.icos-cp.eu/resources/stations/ES_IT-BCi</v>
      </c>
    </row>
    <row r="65" spans="1:6" x14ac:dyDescent="0.25">
      <c r="A65" t="s">
        <v>223</v>
      </c>
      <c r="B65" t="s">
        <v>229</v>
      </c>
      <c r="C65" s="6" t="s">
        <v>310</v>
      </c>
      <c r="D65">
        <v>10.741966</v>
      </c>
      <c r="E65">
        <v>45.197754000000003</v>
      </c>
      <c r="F65" t="str">
        <f t="shared" si="0"/>
        <v>https://meta.icos-cp.eu/resources/stations/ES_IT-BFt</v>
      </c>
    </row>
    <row r="66" spans="1:6" x14ac:dyDescent="0.25">
      <c r="A66" t="s">
        <v>189</v>
      </c>
      <c r="B66" t="s">
        <v>301</v>
      </c>
      <c r="C66" s="6" t="s">
        <v>310</v>
      </c>
      <c r="D66">
        <v>12.356870000000001</v>
      </c>
      <c r="E66">
        <v>41.704300000000003</v>
      </c>
      <c r="F66" t="str">
        <f t="shared" si="0"/>
        <v>https://meta.icos-cp.eu/resources/stations/ES_IT-Cp2</v>
      </c>
    </row>
    <row r="67" spans="1:6" x14ac:dyDescent="0.25">
      <c r="A67" t="s">
        <v>224</v>
      </c>
      <c r="B67" t="s">
        <v>235</v>
      </c>
      <c r="C67" s="6" t="s">
        <v>310</v>
      </c>
      <c r="D67">
        <v>11.281319999999999</v>
      </c>
      <c r="E67">
        <v>45.956200000000003</v>
      </c>
      <c r="F67" t="str">
        <f t="shared" ref="F67:F79" si="1">_xlfn.CONCAT("https://meta.icos-cp.eu/resources/stations/ES_",A67)</f>
        <v>https://meta.icos-cp.eu/resources/stations/ES_IT-Lav</v>
      </c>
    </row>
    <row r="68" spans="1:6" x14ac:dyDescent="0.25">
      <c r="A68" t="s">
        <v>190</v>
      </c>
      <c r="B68" t="s">
        <v>239</v>
      </c>
      <c r="C68" s="6" t="s">
        <v>310</v>
      </c>
      <c r="D68">
        <v>12.750297</v>
      </c>
      <c r="E68">
        <v>45.740482</v>
      </c>
      <c r="F68" t="str">
        <f t="shared" si="1"/>
        <v>https://meta.icos-cp.eu/resources/stations/ES_IT-Lsn</v>
      </c>
    </row>
    <row r="69" spans="1:6" x14ac:dyDescent="0.25">
      <c r="A69" t="s">
        <v>225</v>
      </c>
      <c r="B69" t="s">
        <v>235</v>
      </c>
      <c r="C69" s="6" t="s">
        <v>310</v>
      </c>
      <c r="D69">
        <v>11.045831</v>
      </c>
      <c r="E69">
        <v>46.014679999999998</v>
      </c>
      <c r="F69" t="str">
        <f t="shared" si="1"/>
        <v>https://meta.icos-cp.eu/resources/stations/ES_IT-MBo</v>
      </c>
    </row>
    <row r="70" spans="1:6" x14ac:dyDescent="0.25">
      <c r="A70" t="s">
        <v>226</v>
      </c>
      <c r="B70" t="s">
        <v>253</v>
      </c>
      <c r="C70" s="6" t="s">
        <v>310</v>
      </c>
      <c r="D70">
        <v>11.43369</v>
      </c>
      <c r="E70">
        <v>46.586860000000001</v>
      </c>
      <c r="F70" t="str">
        <f t="shared" si="1"/>
        <v>https://meta.icos-cp.eu/resources/stations/ES_IT-Ren</v>
      </c>
    </row>
    <row r="71" spans="1:6" x14ac:dyDescent="0.25">
      <c r="A71" t="s">
        <v>191</v>
      </c>
      <c r="B71" t="s">
        <v>305</v>
      </c>
      <c r="C71" s="6" t="s">
        <v>310</v>
      </c>
      <c r="D71">
        <v>10.291491000000001</v>
      </c>
      <c r="E71">
        <v>43.731912999999999</v>
      </c>
      <c r="F71" t="str">
        <f t="shared" si="1"/>
        <v>https://meta.icos-cp.eu/resources/stations/ES_IT-SR2</v>
      </c>
    </row>
    <row r="72" spans="1:6" x14ac:dyDescent="0.25">
      <c r="A72" t="s">
        <v>192</v>
      </c>
      <c r="B72" t="s">
        <v>246</v>
      </c>
      <c r="C72" s="6" t="s">
        <v>310</v>
      </c>
      <c r="D72">
        <v>7.578055</v>
      </c>
      <c r="E72">
        <v>45.844439999999999</v>
      </c>
      <c r="F72" t="str">
        <f t="shared" si="1"/>
        <v>https://meta.icos-cp.eu/resources/stations/ES_IT-Tor</v>
      </c>
    </row>
    <row r="73" spans="1:6" x14ac:dyDescent="0.25">
      <c r="A73" t="s">
        <v>194</v>
      </c>
      <c r="B73" t="s">
        <v>231</v>
      </c>
      <c r="C73" s="6" t="s">
        <v>310</v>
      </c>
      <c r="D73">
        <v>32.901878000000004</v>
      </c>
      <c r="E73">
        <v>56.447603000000001</v>
      </c>
      <c r="F73" t="str">
        <f t="shared" si="1"/>
        <v>https://meta.icos-cp.eu/resources/stations/ES_RU-Fy2</v>
      </c>
    </row>
    <row r="74" spans="1:6" x14ac:dyDescent="0.25">
      <c r="A74" t="s">
        <v>195</v>
      </c>
      <c r="B74" t="s">
        <v>306</v>
      </c>
      <c r="C74" s="6" t="s">
        <v>310</v>
      </c>
      <c r="D74">
        <v>32.922083299999997</v>
      </c>
      <c r="E74">
        <v>56.461527799999999</v>
      </c>
      <c r="F74" t="str">
        <f t="shared" si="1"/>
        <v>https://meta.icos-cp.eu/resources/stations/ES_RU-Fyo</v>
      </c>
    </row>
    <row r="75" spans="1:6" x14ac:dyDescent="0.25">
      <c r="A75" t="s">
        <v>196</v>
      </c>
      <c r="B75" t="s">
        <v>263</v>
      </c>
      <c r="C75" s="6" t="s">
        <v>310</v>
      </c>
      <c r="D75">
        <v>19.557448000000001</v>
      </c>
      <c r="E75">
        <v>64.182333</v>
      </c>
      <c r="F75" t="str">
        <f t="shared" si="1"/>
        <v>https://meta.icos-cp.eu/resources/stations/ES_SE-Deg</v>
      </c>
    </row>
    <row r="76" spans="1:6" x14ac:dyDescent="0.25">
      <c r="A76" t="s">
        <v>197</v>
      </c>
      <c r="B76" t="s">
        <v>231</v>
      </c>
      <c r="C76" s="6" t="s">
        <v>310</v>
      </c>
      <c r="D76">
        <v>13.417892999999999</v>
      </c>
      <c r="E76">
        <v>56.097566</v>
      </c>
      <c r="F76" t="str">
        <f t="shared" si="1"/>
        <v>https://meta.icos-cp.eu/resources/stations/ES_SE-Htm</v>
      </c>
    </row>
    <row r="77" spans="1:6" x14ac:dyDescent="0.25">
      <c r="A77" t="s">
        <v>199</v>
      </c>
      <c r="B77" t="s">
        <v>230</v>
      </c>
      <c r="C77" s="6" t="s">
        <v>310</v>
      </c>
      <c r="D77">
        <v>17.47852</v>
      </c>
      <c r="E77">
        <v>60.08699</v>
      </c>
      <c r="F77" t="str">
        <f t="shared" si="1"/>
        <v>https://meta.icos-cp.eu/resources/stations/ES_SE-Nor</v>
      </c>
    </row>
    <row r="78" spans="1:6" x14ac:dyDescent="0.25">
      <c r="A78" t="s">
        <v>200</v>
      </c>
      <c r="B78" t="s">
        <v>230</v>
      </c>
      <c r="C78" s="6" t="s">
        <v>310</v>
      </c>
      <c r="D78">
        <v>19.738</v>
      </c>
      <c r="E78">
        <v>64.172499999999999</v>
      </c>
      <c r="F78" t="str">
        <f t="shared" si="1"/>
        <v>https://meta.icos-cp.eu/resources/stations/ES_SE-Ros</v>
      </c>
    </row>
    <row r="79" spans="1:6" x14ac:dyDescent="0.25">
      <c r="A79" t="s">
        <v>201</v>
      </c>
      <c r="B79" t="s">
        <v>230</v>
      </c>
      <c r="C79" s="6" t="s">
        <v>310</v>
      </c>
      <c r="D79">
        <v>19.776502000000001</v>
      </c>
      <c r="E79">
        <v>64.256304999999998</v>
      </c>
      <c r="F79" t="str">
        <f t="shared" si="1"/>
        <v>https://meta.icos-cp.eu/resources/stations/ES_SE-Svb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EB89-5A07-46D1-B7EE-4D7EBA4D40B4}">
  <dimension ref="A1:J269"/>
  <sheetViews>
    <sheetView workbookViewId="0">
      <selection activeCell="A7" sqref="A7"/>
    </sheetView>
  </sheetViews>
  <sheetFormatPr defaultRowHeight="15" x14ac:dyDescent="0.25"/>
  <cols>
    <col min="1" max="1" width="12.7109375" customWidth="1"/>
  </cols>
  <sheetData>
    <row r="1" spans="1:10" ht="15.75" thickBot="1" x14ac:dyDescent="0.3">
      <c r="A1" t="s">
        <v>3411</v>
      </c>
    </row>
    <row r="2" spans="1:10" ht="45.75" thickBot="1" x14ac:dyDescent="0.3">
      <c r="A2" s="22" t="s">
        <v>3412</v>
      </c>
      <c r="B2" s="22" t="s">
        <v>3413</v>
      </c>
      <c r="C2" s="22" t="s">
        <v>3414</v>
      </c>
      <c r="D2" s="22" t="s">
        <v>3415</v>
      </c>
      <c r="E2" s="22" t="s">
        <v>3416</v>
      </c>
      <c r="F2" s="22" t="s">
        <v>3417</v>
      </c>
      <c r="G2" s="22" t="s">
        <v>3418</v>
      </c>
      <c r="H2" s="22" t="s">
        <v>3156</v>
      </c>
      <c r="I2" s="22" t="s">
        <v>3419</v>
      </c>
      <c r="J2" s="23" t="s">
        <v>3420</v>
      </c>
    </row>
    <row r="3" spans="1:10" ht="15.75" thickBot="1" x14ac:dyDescent="0.3">
      <c r="A3" s="7" t="s">
        <v>3161</v>
      </c>
      <c r="B3" s="8" t="s">
        <v>3162</v>
      </c>
      <c r="C3" s="9" t="s">
        <v>346</v>
      </c>
      <c r="D3" s="9"/>
      <c r="E3" s="10">
        <v>-33.464799999999997</v>
      </c>
      <c r="F3" s="10">
        <v>-66.459800000000001</v>
      </c>
      <c r="G3" s="10"/>
      <c r="H3" s="10" t="s">
        <v>479</v>
      </c>
      <c r="I3" s="10"/>
      <c r="J3" s="15">
        <v>400</v>
      </c>
    </row>
    <row r="4" spans="1:10" ht="15.75" thickBot="1" x14ac:dyDescent="0.3">
      <c r="A4" s="11" t="s">
        <v>3163</v>
      </c>
      <c r="B4" s="12" t="s">
        <v>3164</v>
      </c>
      <c r="C4" s="13" t="s">
        <v>346</v>
      </c>
      <c r="D4" s="13"/>
      <c r="E4" s="14">
        <v>-28.2395</v>
      </c>
      <c r="F4" s="14">
        <v>-56.188600000000001</v>
      </c>
      <c r="G4" s="14"/>
      <c r="H4" s="14" t="s">
        <v>513</v>
      </c>
      <c r="I4" s="14"/>
      <c r="J4" s="16"/>
    </row>
    <row r="5" spans="1:10" ht="15.75" thickBot="1" x14ac:dyDescent="0.3">
      <c r="A5" s="7" t="s">
        <v>3165</v>
      </c>
      <c r="B5" s="8" t="s">
        <v>3166</v>
      </c>
      <c r="C5" s="9" t="s">
        <v>346</v>
      </c>
      <c r="D5" s="9" t="s">
        <v>346</v>
      </c>
      <c r="E5" s="10">
        <v>47.116700000000002</v>
      </c>
      <c r="F5" s="10">
        <v>11.317500000000001</v>
      </c>
      <c r="G5" s="10">
        <v>970</v>
      </c>
      <c r="H5" s="10" t="s">
        <v>367</v>
      </c>
      <c r="I5" s="10">
        <v>6.5</v>
      </c>
      <c r="J5" s="15">
        <v>852</v>
      </c>
    </row>
    <row r="6" spans="1:10" ht="30.75" thickBot="1" x14ac:dyDescent="0.3">
      <c r="A6" s="11" t="s">
        <v>136</v>
      </c>
      <c r="B6" s="12" t="s">
        <v>3167</v>
      </c>
      <c r="C6" s="13" t="s">
        <v>346</v>
      </c>
      <c r="D6" s="13"/>
      <c r="E6" s="14">
        <v>-22.283000000000001</v>
      </c>
      <c r="F6" s="14">
        <v>133.249</v>
      </c>
      <c r="G6" s="14"/>
      <c r="H6" s="14" t="s">
        <v>1436</v>
      </c>
      <c r="I6" s="14"/>
      <c r="J6" s="16"/>
    </row>
    <row r="7" spans="1:10" ht="30.75" thickBot="1" x14ac:dyDescent="0.3">
      <c r="A7" s="7" t="s">
        <v>3168</v>
      </c>
      <c r="B7" s="8" t="s">
        <v>3169</v>
      </c>
      <c r="C7" s="9" t="s">
        <v>346</v>
      </c>
      <c r="D7" s="9"/>
      <c r="E7" s="10">
        <v>-13.0769</v>
      </c>
      <c r="F7" s="10">
        <v>131.11779999999999</v>
      </c>
      <c r="G7" s="10"/>
      <c r="H7" s="10" t="s">
        <v>433</v>
      </c>
      <c r="I7" s="10"/>
      <c r="J7" s="15"/>
    </row>
    <row r="8" spans="1:10" ht="30.75" thickBot="1" x14ac:dyDescent="0.3">
      <c r="A8" s="11" t="s">
        <v>138</v>
      </c>
      <c r="B8" s="12" t="s">
        <v>3170</v>
      </c>
      <c r="C8" s="13" t="s">
        <v>346</v>
      </c>
      <c r="D8" s="13"/>
      <c r="E8" s="14">
        <v>-34.002099999999999</v>
      </c>
      <c r="F8" s="14">
        <v>140.5891</v>
      </c>
      <c r="G8" s="14"/>
      <c r="H8" s="14" t="s">
        <v>1436</v>
      </c>
      <c r="I8" s="14"/>
      <c r="J8" s="16"/>
    </row>
    <row r="9" spans="1:10" ht="30.75" thickBot="1" x14ac:dyDescent="0.3">
      <c r="A9" s="7" t="s">
        <v>139</v>
      </c>
      <c r="B9" s="8" t="s">
        <v>3171</v>
      </c>
      <c r="C9" s="9" t="s">
        <v>346</v>
      </c>
      <c r="D9" s="9"/>
      <c r="E9" s="10">
        <v>-33.615200000000002</v>
      </c>
      <c r="F9" s="10">
        <v>150.7236</v>
      </c>
      <c r="G9" s="10"/>
      <c r="H9" s="10" t="s">
        <v>397</v>
      </c>
      <c r="I9" s="10"/>
      <c r="J9" s="15"/>
    </row>
    <row r="10" spans="1:10" ht="45.75" thickBot="1" x14ac:dyDescent="0.3">
      <c r="A10" s="11" t="s">
        <v>3172</v>
      </c>
      <c r="B10" s="12" t="s">
        <v>3173</v>
      </c>
      <c r="C10" s="13" t="s">
        <v>346</v>
      </c>
      <c r="D10" s="13"/>
      <c r="E10" s="14">
        <v>-14.0633</v>
      </c>
      <c r="F10" s="14">
        <v>131.31809999999999</v>
      </c>
      <c r="G10" s="14"/>
      <c r="H10" s="14" t="s">
        <v>367</v>
      </c>
      <c r="I10" s="14">
        <v>27.25</v>
      </c>
      <c r="J10" s="16">
        <v>983.78</v>
      </c>
    </row>
    <row r="11" spans="1:10" ht="45.75" thickBot="1" x14ac:dyDescent="0.3">
      <c r="A11" s="7" t="s">
        <v>140</v>
      </c>
      <c r="B11" s="8" t="s">
        <v>3174</v>
      </c>
      <c r="C11" s="9" t="s">
        <v>346</v>
      </c>
      <c r="D11" s="9"/>
      <c r="E11" s="10">
        <v>-14.1593</v>
      </c>
      <c r="F11" s="10">
        <v>131.38810000000001</v>
      </c>
      <c r="G11" s="10"/>
      <c r="H11" s="10" t="s">
        <v>1436</v>
      </c>
      <c r="I11" s="10">
        <v>27.22</v>
      </c>
      <c r="J11" s="15">
        <v>975.82</v>
      </c>
    </row>
    <row r="12" spans="1:10" ht="15.75" thickBot="1" x14ac:dyDescent="0.3">
      <c r="A12" s="11" t="s">
        <v>141</v>
      </c>
      <c r="B12" s="12" t="s">
        <v>3175</v>
      </c>
      <c r="C12" s="13" t="s">
        <v>346</v>
      </c>
      <c r="D12" s="13"/>
      <c r="E12" s="14">
        <v>-15.258800000000001</v>
      </c>
      <c r="F12" s="14">
        <v>132.3706</v>
      </c>
      <c r="G12" s="14"/>
      <c r="H12" s="14" t="s">
        <v>1436</v>
      </c>
      <c r="I12" s="14"/>
      <c r="J12" s="16"/>
    </row>
    <row r="13" spans="1:10" ht="15.75" thickBot="1" x14ac:dyDescent="0.3">
      <c r="A13" s="7" t="s">
        <v>3176</v>
      </c>
      <c r="B13" s="8" t="s">
        <v>3177</v>
      </c>
      <c r="C13" s="9" t="s">
        <v>346</v>
      </c>
      <c r="D13" s="9"/>
      <c r="E13" s="10">
        <v>-23.858699999999999</v>
      </c>
      <c r="F13" s="10">
        <v>148.47460000000001</v>
      </c>
      <c r="G13" s="10"/>
      <c r="H13" s="10" t="s">
        <v>367</v>
      </c>
      <c r="I13" s="10"/>
      <c r="J13" s="15"/>
    </row>
    <row r="14" spans="1:10" ht="30.75" thickBot="1" x14ac:dyDescent="0.3">
      <c r="A14" s="11" t="s">
        <v>3178</v>
      </c>
      <c r="B14" s="12" t="s">
        <v>3179</v>
      </c>
      <c r="C14" s="13" t="s">
        <v>346</v>
      </c>
      <c r="D14" s="13"/>
      <c r="E14" s="14">
        <v>-12.545199999999999</v>
      </c>
      <c r="F14" s="14">
        <v>131.30719999999999</v>
      </c>
      <c r="G14" s="14"/>
      <c r="H14" s="14" t="s">
        <v>376</v>
      </c>
      <c r="I14" s="14">
        <v>27.02</v>
      </c>
      <c r="J14" s="16">
        <v>1323.69</v>
      </c>
    </row>
    <row r="15" spans="1:10" ht="120.75" thickBot="1" x14ac:dyDescent="0.3">
      <c r="A15" s="7" t="s">
        <v>142</v>
      </c>
      <c r="B15" s="8" t="s">
        <v>3180</v>
      </c>
      <c r="C15" s="9" t="s">
        <v>346</v>
      </c>
      <c r="D15" s="9"/>
      <c r="E15" s="10">
        <v>-30.191299999999998</v>
      </c>
      <c r="F15" s="10">
        <v>120.6541</v>
      </c>
      <c r="G15" s="10"/>
      <c r="H15" s="10" t="s">
        <v>1436</v>
      </c>
      <c r="I15" s="10"/>
      <c r="J15" s="15"/>
    </row>
    <row r="16" spans="1:10" ht="15.75" thickBot="1" x14ac:dyDescent="0.3">
      <c r="A16" s="11" t="s">
        <v>3181</v>
      </c>
      <c r="B16" s="12" t="s">
        <v>3182</v>
      </c>
      <c r="C16" s="13" t="s">
        <v>346</v>
      </c>
      <c r="D16" s="13"/>
      <c r="E16" s="14">
        <v>-31.3764</v>
      </c>
      <c r="F16" s="14">
        <v>115.71380000000001</v>
      </c>
      <c r="G16" s="14"/>
      <c r="H16" s="14" t="s">
        <v>433</v>
      </c>
      <c r="I16" s="14"/>
      <c r="J16" s="16"/>
    </row>
    <row r="17" spans="1:10" ht="30.75" thickBot="1" x14ac:dyDescent="0.3">
      <c r="A17" s="7" t="s">
        <v>3183</v>
      </c>
      <c r="B17" s="8" t="s">
        <v>3184</v>
      </c>
      <c r="C17" s="9" t="s">
        <v>346</v>
      </c>
      <c r="D17" s="9"/>
      <c r="E17" s="10">
        <v>-12.494300000000001</v>
      </c>
      <c r="F17" s="10">
        <v>131.1523</v>
      </c>
      <c r="G17" s="10"/>
      <c r="H17" s="10" t="s">
        <v>433</v>
      </c>
      <c r="I17" s="10">
        <v>27.01</v>
      </c>
      <c r="J17" s="15">
        <v>1449.35</v>
      </c>
    </row>
    <row r="18" spans="1:10" ht="15.75" thickBot="1" x14ac:dyDescent="0.3">
      <c r="A18" s="11" t="s">
        <v>3185</v>
      </c>
      <c r="B18" s="12" t="s">
        <v>3186</v>
      </c>
      <c r="C18" s="13" t="s">
        <v>346</v>
      </c>
      <c r="D18" s="13"/>
      <c r="E18" s="14">
        <v>-34.470399999999998</v>
      </c>
      <c r="F18" s="14">
        <v>140.6551</v>
      </c>
      <c r="G18" s="14"/>
      <c r="H18" s="14" t="s">
        <v>428</v>
      </c>
      <c r="I18" s="14"/>
      <c r="J18" s="16"/>
    </row>
    <row r="19" spans="1:10" ht="75.75" thickBot="1" x14ac:dyDescent="0.3">
      <c r="A19" s="7" t="s">
        <v>3187</v>
      </c>
      <c r="B19" s="8" t="s">
        <v>3188</v>
      </c>
      <c r="C19" s="9" t="s">
        <v>346</v>
      </c>
      <c r="D19" s="9"/>
      <c r="E19" s="10">
        <v>-14.563599999999999</v>
      </c>
      <c r="F19" s="10">
        <v>132.4776</v>
      </c>
      <c r="G19" s="10"/>
      <c r="H19" s="10" t="s">
        <v>433</v>
      </c>
      <c r="I19" s="10"/>
      <c r="J19" s="15"/>
    </row>
    <row r="20" spans="1:10" ht="30.75" thickBot="1" x14ac:dyDescent="0.3">
      <c r="A20" s="11" t="s">
        <v>3189</v>
      </c>
      <c r="B20" s="12" t="s">
        <v>3190</v>
      </c>
      <c r="C20" s="13" t="s">
        <v>346</v>
      </c>
      <c r="D20" s="13"/>
      <c r="E20" s="14">
        <v>-36.649900000000002</v>
      </c>
      <c r="F20" s="14">
        <v>145.57589999999999</v>
      </c>
      <c r="G20" s="14"/>
      <c r="H20" s="14" t="s">
        <v>367</v>
      </c>
      <c r="I20" s="14"/>
      <c r="J20" s="16"/>
    </row>
    <row r="21" spans="1:10" ht="75.75" thickBot="1" x14ac:dyDescent="0.3">
      <c r="A21" s="7" t="s">
        <v>3191</v>
      </c>
      <c r="B21" s="8" t="s">
        <v>3192</v>
      </c>
      <c r="C21" s="9" t="s">
        <v>346</v>
      </c>
      <c r="D21" s="9"/>
      <c r="E21" s="10">
        <v>-17.1175</v>
      </c>
      <c r="F21" s="10">
        <v>145.6301</v>
      </c>
      <c r="G21" s="10"/>
      <c r="H21" s="10" t="s">
        <v>397</v>
      </c>
      <c r="I21" s="10"/>
      <c r="J21" s="15"/>
    </row>
    <row r="22" spans="1:10" ht="30.75" thickBot="1" x14ac:dyDescent="0.3">
      <c r="A22" s="11" t="s">
        <v>146</v>
      </c>
      <c r="B22" s="12" t="s">
        <v>3193</v>
      </c>
      <c r="C22" s="13" t="s">
        <v>346</v>
      </c>
      <c r="D22" s="13"/>
      <c r="E22" s="14">
        <v>-17.150700000000001</v>
      </c>
      <c r="F22" s="14">
        <v>133.3502</v>
      </c>
      <c r="G22" s="14"/>
      <c r="H22" s="14" t="s">
        <v>367</v>
      </c>
      <c r="I22" s="14"/>
      <c r="J22" s="16"/>
    </row>
    <row r="23" spans="1:10" ht="30.75" thickBot="1" x14ac:dyDescent="0.3">
      <c r="A23" s="7" t="s">
        <v>3194</v>
      </c>
      <c r="B23" s="8" t="s">
        <v>3195</v>
      </c>
      <c r="C23" s="9" t="s">
        <v>346</v>
      </c>
      <c r="D23" s="9"/>
      <c r="E23" s="10">
        <v>-22.286999999999999</v>
      </c>
      <c r="F23" s="10">
        <v>133.63999999999999</v>
      </c>
      <c r="G23" s="10"/>
      <c r="H23" s="10" t="s">
        <v>367</v>
      </c>
      <c r="I23" s="10"/>
      <c r="J23" s="15"/>
    </row>
    <row r="24" spans="1:10" ht="30.75" thickBot="1" x14ac:dyDescent="0.3">
      <c r="A24" s="11" t="s">
        <v>3196</v>
      </c>
      <c r="B24" s="12" t="s">
        <v>3197</v>
      </c>
      <c r="C24" s="13" t="s">
        <v>346</v>
      </c>
      <c r="D24" s="13"/>
      <c r="E24" s="14">
        <v>-35.656599999999997</v>
      </c>
      <c r="F24" s="14">
        <v>148.15170000000001</v>
      </c>
      <c r="G24" s="14">
        <v>1200</v>
      </c>
      <c r="H24" s="14" t="s">
        <v>397</v>
      </c>
      <c r="I24" s="14">
        <v>10.72</v>
      </c>
      <c r="J24" s="16">
        <v>1159.01</v>
      </c>
    </row>
    <row r="25" spans="1:10" ht="30.75" thickBot="1" x14ac:dyDescent="0.3">
      <c r="A25" s="7" t="s">
        <v>3198</v>
      </c>
      <c r="B25" s="8" t="s">
        <v>3199</v>
      </c>
      <c r="C25" s="9" t="s">
        <v>346</v>
      </c>
      <c r="D25" s="9"/>
      <c r="E25" s="10">
        <v>-37.425899999999999</v>
      </c>
      <c r="F25" s="10">
        <v>145.18780000000001</v>
      </c>
      <c r="G25" s="10"/>
      <c r="H25" s="10" t="s">
        <v>397</v>
      </c>
      <c r="I25" s="10">
        <v>12.76</v>
      </c>
      <c r="J25" s="15">
        <v>1105.5899999999999</v>
      </c>
    </row>
    <row r="26" spans="1:10" ht="15.75" thickBot="1" x14ac:dyDescent="0.3">
      <c r="A26" s="11" t="s">
        <v>148</v>
      </c>
      <c r="B26" s="12" t="s">
        <v>3200</v>
      </c>
      <c r="C26" s="13" t="s">
        <v>346</v>
      </c>
      <c r="D26" s="13"/>
      <c r="E26" s="14">
        <v>-36.673200000000001</v>
      </c>
      <c r="F26" s="14">
        <v>145.02940000000001</v>
      </c>
      <c r="G26" s="14"/>
      <c r="H26" s="14" t="s">
        <v>397</v>
      </c>
      <c r="I26" s="14"/>
      <c r="J26" s="16"/>
    </row>
    <row r="27" spans="1:10" ht="15.75" thickBot="1" x14ac:dyDescent="0.3">
      <c r="A27" s="7" t="s">
        <v>149</v>
      </c>
      <c r="B27" s="8" t="s">
        <v>3201</v>
      </c>
      <c r="C27" s="9" t="s">
        <v>346</v>
      </c>
      <c r="D27" s="9"/>
      <c r="E27" s="10">
        <v>-37.422199999999997</v>
      </c>
      <c r="F27" s="10">
        <v>144.09440000000001</v>
      </c>
      <c r="G27" s="10">
        <v>705</v>
      </c>
      <c r="H27" s="10" t="s">
        <v>397</v>
      </c>
      <c r="I27" s="10"/>
      <c r="J27" s="15"/>
    </row>
    <row r="28" spans="1:10" ht="15.75" thickBot="1" x14ac:dyDescent="0.3">
      <c r="A28" s="11" t="s">
        <v>3202</v>
      </c>
      <c r="B28" s="12" t="s">
        <v>3203</v>
      </c>
      <c r="C28" s="13" t="s">
        <v>346</v>
      </c>
      <c r="D28" s="13"/>
      <c r="E28" s="14">
        <v>-34.9893</v>
      </c>
      <c r="F28" s="14">
        <v>146.29069999999999</v>
      </c>
      <c r="G28" s="14"/>
      <c r="H28" s="14" t="s">
        <v>367</v>
      </c>
      <c r="I28" s="14"/>
      <c r="J28" s="16"/>
    </row>
    <row r="29" spans="1:10" ht="30.75" thickBot="1" x14ac:dyDescent="0.3">
      <c r="A29" s="7" t="s">
        <v>150</v>
      </c>
      <c r="B29" s="8" t="s">
        <v>3204</v>
      </c>
      <c r="C29" s="9" t="s">
        <v>346</v>
      </c>
      <c r="D29" s="9"/>
      <c r="E29" s="10">
        <v>51.307600000000001</v>
      </c>
      <c r="F29" s="10">
        <v>4.5198</v>
      </c>
      <c r="G29" s="10">
        <v>16</v>
      </c>
      <c r="H29" s="10" t="s">
        <v>479</v>
      </c>
      <c r="I29" s="10">
        <v>9.8000000000000007</v>
      </c>
      <c r="J29" s="15">
        <v>750</v>
      </c>
    </row>
    <row r="30" spans="1:10" ht="15.75" thickBot="1" x14ac:dyDescent="0.3">
      <c r="A30" s="11" t="s">
        <v>151</v>
      </c>
      <c r="B30" s="12" t="s">
        <v>3205</v>
      </c>
      <c r="C30" s="13" t="s">
        <v>346</v>
      </c>
      <c r="D30" s="13"/>
      <c r="E30" s="14">
        <v>50.551600000000001</v>
      </c>
      <c r="F30" s="14">
        <v>4.7462</v>
      </c>
      <c r="G30" s="14">
        <v>167</v>
      </c>
      <c r="H30" s="14" t="s">
        <v>349</v>
      </c>
      <c r="I30" s="14">
        <v>10</v>
      </c>
      <c r="J30" s="16">
        <v>800</v>
      </c>
    </row>
    <row r="31" spans="1:10" ht="15.75" thickBot="1" x14ac:dyDescent="0.3">
      <c r="A31" s="7" t="s">
        <v>152</v>
      </c>
      <c r="B31" s="8" t="s">
        <v>3206</v>
      </c>
      <c r="C31" s="9" t="s">
        <v>346</v>
      </c>
      <c r="D31" s="9"/>
      <c r="E31" s="10">
        <v>50.304900000000004</v>
      </c>
      <c r="F31" s="10">
        <v>5.9981</v>
      </c>
      <c r="G31" s="10">
        <v>493</v>
      </c>
      <c r="H31" s="10" t="s">
        <v>479</v>
      </c>
      <c r="I31" s="10">
        <v>7.8</v>
      </c>
      <c r="J31" s="15">
        <v>1062</v>
      </c>
    </row>
    <row r="32" spans="1:10" ht="45.75" thickBot="1" x14ac:dyDescent="0.3">
      <c r="A32" s="11" t="s">
        <v>450</v>
      </c>
      <c r="B32" s="12" t="s">
        <v>451</v>
      </c>
      <c r="C32" s="13"/>
      <c r="D32" s="13" t="s">
        <v>346</v>
      </c>
      <c r="E32" s="14">
        <v>-16.498000000000001</v>
      </c>
      <c r="F32" s="14">
        <v>-56.411999999999999</v>
      </c>
      <c r="G32" s="14">
        <v>120</v>
      </c>
      <c r="H32" s="14" t="s">
        <v>433</v>
      </c>
      <c r="I32" s="14">
        <v>24.9</v>
      </c>
      <c r="J32" s="16">
        <v>1486</v>
      </c>
    </row>
    <row r="33" spans="1:10" ht="60.75" thickBot="1" x14ac:dyDescent="0.3">
      <c r="A33" s="7" t="s">
        <v>459</v>
      </c>
      <c r="B33" s="8" t="s">
        <v>460</v>
      </c>
      <c r="C33" s="9" t="s">
        <v>346</v>
      </c>
      <c r="D33" s="9"/>
      <c r="E33" s="10">
        <v>-2.8567</v>
      </c>
      <c r="F33" s="10">
        <v>-54.9589</v>
      </c>
      <c r="G33" s="10">
        <v>88</v>
      </c>
      <c r="H33" s="10" t="s">
        <v>397</v>
      </c>
      <c r="I33" s="10">
        <v>26.13</v>
      </c>
      <c r="J33" s="15">
        <v>2074.79</v>
      </c>
    </row>
    <row r="34" spans="1:10" ht="60.75" thickBot="1" x14ac:dyDescent="0.3">
      <c r="A34" s="11" t="s">
        <v>465</v>
      </c>
      <c r="B34" s="12" t="s">
        <v>466</v>
      </c>
      <c r="C34" s="13" t="s">
        <v>346</v>
      </c>
      <c r="D34" s="13"/>
      <c r="E34" s="14">
        <v>-3.0179999999999998</v>
      </c>
      <c r="F34" s="14">
        <v>-54.971400000000003</v>
      </c>
      <c r="G34" s="14">
        <v>100</v>
      </c>
      <c r="H34" s="14" t="s">
        <v>397</v>
      </c>
      <c r="I34" s="14">
        <v>26.12</v>
      </c>
      <c r="J34" s="16">
        <v>2043.77</v>
      </c>
    </row>
    <row r="35" spans="1:10" ht="15.75" thickBot="1" x14ac:dyDescent="0.3">
      <c r="A35" s="7" t="s">
        <v>3207</v>
      </c>
      <c r="B35" s="8" t="s">
        <v>3208</v>
      </c>
      <c r="C35" s="9"/>
      <c r="D35" s="9" t="s">
        <v>346</v>
      </c>
      <c r="E35" s="10">
        <v>-18.964700000000001</v>
      </c>
      <c r="F35" s="10">
        <v>22.371099999999998</v>
      </c>
      <c r="G35" s="10">
        <v>950</v>
      </c>
      <c r="H35" s="10" t="s">
        <v>376</v>
      </c>
      <c r="I35" s="10">
        <v>21</v>
      </c>
      <c r="J35" s="15">
        <v>460</v>
      </c>
    </row>
    <row r="36" spans="1:10" ht="15.75" thickBot="1" x14ac:dyDescent="0.3">
      <c r="A36" s="11" t="s">
        <v>3209</v>
      </c>
      <c r="B36" s="12" t="s">
        <v>3210</v>
      </c>
      <c r="C36" s="13"/>
      <c r="D36" s="13" t="s">
        <v>346</v>
      </c>
      <c r="E36" s="14">
        <v>-19.548100000000002</v>
      </c>
      <c r="F36" s="14">
        <v>23.179200000000002</v>
      </c>
      <c r="G36" s="14">
        <v>950</v>
      </c>
      <c r="H36" s="14" t="s">
        <v>367</v>
      </c>
      <c r="I36" s="14">
        <v>21</v>
      </c>
      <c r="J36" s="16">
        <v>460</v>
      </c>
    </row>
    <row r="37" spans="1:10" ht="105.75" thickBot="1" x14ac:dyDescent="0.3">
      <c r="A37" s="7" t="s">
        <v>609</v>
      </c>
      <c r="B37" s="8" t="s">
        <v>610</v>
      </c>
      <c r="C37" s="9" t="s">
        <v>346</v>
      </c>
      <c r="D37" s="9"/>
      <c r="E37" s="10">
        <v>48.216700000000003</v>
      </c>
      <c r="F37" s="10">
        <v>-82.155600000000007</v>
      </c>
      <c r="G37" s="10">
        <v>340</v>
      </c>
      <c r="H37" s="10" t="s">
        <v>479</v>
      </c>
      <c r="I37" s="10">
        <v>1.3</v>
      </c>
      <c r="J37" s="15">
        <v>831</v>
      </c>
    </row>
    <row r="38" spans="1:10" ht="150.75" thickBot="1" x14ac:dyDescent="0.3">
      <c r="A38" s="11" t="s">
        <v>656</v>
      </c>
      <c r="B38" s="12" t="s">
        <v>657</v>
      </c>
      <c r="C38" s="13" t="s">
        <v>346</v>
      </c>
      <c r="D38" s="13"/>
      <c r="E38" s="14">
        <v>55.879600000000003</v>
      </c>
      <c r="F38" s="14">
        <v>-98.480800000000002</v>
      </c>
      <c r="G38" s="14">
        <v>259</v>
      </c>
      <c r="H38" s="14" t="s">
        <v>513</v>
      </c>
      <c r="I38" s="14">
        <v>-3.2</v>
      </c>
      <c r="J38" s="16">
        <v>520</v>
      </c>
    </row>
    <row r="39" spans="1:10" ht="30.75" thickBot="1" x14ac:dyDescent="0.3">
      <c r="A39" s="7" t="s">
        <v>688</v>
      </c>
      <c r="B39" s="8" t="s">
        <v>689</v>
      </c>
      <c r="C39" s="9" t="s">
        <v>346</v>
      </c>
      <c r="D39" s="9"/>
      <c r="E39" s="10">
        <v>55.879199999999997</v>
      </c>
      <c r="F39" s="10">
        <v>-98.483900000000006</v>
      </c>
      <c r="G39" s="10">
        <v>260</v>
      </c>
      <c r="H39" s="10" t="s">
        <v>513</v>
      </c>
      <c r="I39" s="10">
        <v>-2.89</v>
      </c>
      <c r="J39" s="15">
        <v>500.29</v>
      </c>
    </row>
    <row r="40" spans="1:10" ht="30.75" thickBot="1" x14ac:dyDescent="0.3">
      <c r="A40" s="11" t="s">
        <v>694</v>
      </c>
      <c r="B40" s="12" t="s">
        <v>695</v>
      </c>
      <c r="C40" s="13" t="s">
        <v>346</v>
      </c>
      <c r="D40" s="13"/>
      <c r="E40" s="14">
        <v>55.905799999999999</v>
      </c>
      <c r="F40" s="14">
        <v>-98.524699999999996</v>
      </c>
      <c r="G40" s="14">
        <v>260</v>
      </c>
      <c r="H40" s="14" t="s">
        <v>513</v>
      </c>
      <c r="I40" s="14">
        <v>-2.88</v>
      </c>
      <c r="J40" s="16">
        <v>499.82</v>
      </c>
    </row>
    <row r="41" spans="1:10" ht="30.75" thickBot="1" x14ac:dyDescent="0.3">
      <c r="A41" s="7" t="s">
        <v>698</v>
      </c>
      <c r="B41" s="8" t="s">
        <v>699</v>
      </c>
      <c r="C41" s="9" t="s">
        <v>346</v>
      </c>
      <c r="D41" s="9"/>
      <c r="E41" s="10">
        <v>55.911700000000003</v>
      </c>
      <c r="F41" s="10">
        <v>-98.382199999999997</v>
      </c>
      <c r="G41" s="10">
        <v>260</v>
      </c>
      <c r="H41" s="10" t="s">
        <v>513</v>
      </c>
      <c r="I41" s="10">
        <v>-2.87</v>
      </c>
      <c r="J41" s="15">
        <v>502.22</v>
      </c>
    </row>
    <row r="42" spans="1:10" ht="45.75" thickBot="1" x14ac:dyDescent="0.3">
      <c r="A42" s="11" t="s">
        <v>702</v>
      </c>
      <c r="B42" s="12" t="s">
        <v>703</v>
      </c>
      <c r="C42" s="13" t="s">
        <v>346</v>
      </c>
      <c r="D42" s="13"/>
      <c r="E42" s="14">
        <v>55.914400000000001</v>
      </c>
      <c r="F42" s="14">
        <v>-98.380600000000001</v>
      </c>
      <c r="G42" s="14">
        <v>260</v>
      </c>
      <c r="H42" s="14" t="s">
        <v>513</v>
      </c>
      <c r="I42" s="14">
        <v>-2.87</v>
      </c>
      <c r="J42" s="16">
        <v>502.22</v>
      </c>
    </row>
    <row r="43" spans="1:10" ht="30.75" thickBot="1" x14ac:dyDescent="0.3">
      <c r="A43" s="7" t="s">
        <v>706</v>
      </c>
      <c r="B43" s="8" t="s">
        <v>707</v>
      </c>
      <c r="C43" s="9" t="s">
        <v>346</v>
      </c>
      <c r="D43" s="9"/>
      <c r="E43" s="10">
        <v>55.863100000000003</v>
      </c>
      <c r="F43" s="10">
        <v>-98.484999999999999</v>
      </c>
      <c r="G43" s="10">
        <v>260</v>
      </c>
      <c r="H43" s="10" t="s">
        <v>513</v>
      </c>
      <c r="I43" s="10">
        <v>-2.86</v>
      </c>
      <c r="J43" s="15">
        <v>500.34</v>
      </c>
    </row>
    <row r="44" spans="1:10" ht="30.75" thickBot="1" x14ac:dyDescent="0.3">
      <c r="A44" s="11" t="s">
        <v>710</v>
      </c>
      <c r="B44" s="12" t="s">
        <v>711</v>
      </c>
      <c r="C44" s="13" t="s">
        <v>346</v>
      </c>
      <c r="D44" s="13"/>
      <c r="E44" s="14">
        <v>55.916699999999999</v>
      </c>
      <c r="F44" s="14">
        <v>-98.964399999999998</v>
      </c>
      <c r="G44" s="14">
        <v>244</v>
      </c>
      <c r="H44" s="14" t="s">
        <v>581</v>
      </c>
      <c r="I44" s="14">
        <v>-3.08</v>
      </c>
      <c r="J44" s="16">
        <v>495.37</v>
      </c>
    </row>
    <row r="45" spans="1:10" ht="30.75" thickBot="1" x14ac:dyDescent="0.3">
      <c r="A45" s="7" t="s">
        <v>714</v>
      </c>
      <c r="B45" s="8" t="s">
        <v>715</v>
      </c>
      <c r="C45" s="9" t="s">
        <v>346</v>
      </c>
      <c r="D45" s="9"/>
      <c r="E45" s="10">
        <v>56.635800000000003</v>
      </c>
      <c r="F45" s="10">
        <v>-99.948300000000003</v>
      </c>
      <c r="G45" s="10">
        <v>297</v>
      </c>
      <c r="H45" s="10" t="s">
        <v>581</v>
      </c>
      <c r="I45" s="10">
        <v>-3.52</v>
      </c>
      <c r="J45" s="15">
        <v>483.27</v>
      </c>
    </row>
    <row r="46" spans="1:10" ht="90.75" thickBot="1" x14ac:dyDescent="0.3">
      <c r="A46" s="11" t="s">
        <v>721</v>
      </c>
      <c r="B46" s="12" t="s">
        <v>722</v>
      </c>
      <c r="C46" s="13" t="s">
        <v>346</v>
      </c>
      <c r="D46" s="13"/>
      <c r="E46" s="14">
        <v>53.628900000000002</v>
      </c>
      <c r="F46" s="14">
        <v>-106.1978</v>
      </c>
      <c r="G46" s="14">
        <v>530</v>
      </c>
      <c r="H46" s="14" t="s">
        <v>428</v>
      </c>
      <c r="I46" s="14">
        <v>0.34</v>
      </c>
      <c r="J46" s="16">
        <v>428.53</v>
      </c>
    </row>
    <row r="47" spans="1:10" ht="105.75" thickBot="1" x14ac:dyDescent="0.3">
      <c r="A47" s="7" t="s">
        <v>725</v>
      </c>
      <c r="B47" s="8" t="s">
        <v>726</v>
      </c>
      <c r="C47" s="9" t="s">
        <v>346</v>
      </c>
      <c r="D47" s="9"/>
      <c r="E47" s="10">
        <v>53.987200000000001</v>
      </c>
      <c r="F47" s="10">
        <v>-105.1178</v>
      </c>
      <c r="G47" s="10">
        <v>628.94000000000005</v>
      </c>
      <c r="H47" s="10" t="s">
        <v>513</v>
      </c>
      <c r="I47" s="10">
        <v>0.79</v>
      </c>
      <c r="J47" s="15">
        <v>405.6</v>
      </c>
    </row>
    <row r="48" spans="1:10" ht="90.75" thickBot="1" x14ac:dyDescent="0.3">
      <c r="A48" s="11" t="s">
        <v>746</v>
      </c>
      <c r="B48" s="12" t="s">
        <v>747</v>
      </c>
      <c r="C48" s="13" t="s">
        <v>346</v>
      </c>
      <c r="D48" s="13"/>
      <c r="E48" s="14">
        <v>49.692500000000003</v>
      </c>
      <c r="F48" s="14">
        <v>-74.342100000000002</v>
      </c>
      <c r="G48" s="14">
        <v>382</v>
      </c>
      <c r="H48" s="14" t="s">
        <v>513</v>
      </c>
      <c r="I48" s="14">
        <v>-0.36</v>
      </c>
      <c r="J48" s="16">
        <v>962.32</v>
      </c>
    </row>
    <row r="49" spans="1:10" ht="45.75" thickBot="1" x14ac:dyDescent="0.3">
      <c r="A49" s="7" t="s">
        <v>763</v>
      </c>
      <c r="B49" s="8" t="s">
        <v>764</v>
      </c>
      <c r="C49" s="9"/>
      <c r="D49" s="9" t="s">
        <v>346</v>
      </c>
      <c r="E49" s="10">
        <v>61.308900000000001</v>
      </c>
      <c r="F49" s="10">
        <v>-121.2984</v>
      </c>
      <c r="G49" s="10">
        <v>280</v>
      </c>
      <c r="H49" s="10" t="s">
        <v>376</v>
      </c>
      <c r="I49" s="10">
        <v>-2.8</v>
      </c>
      <c r="J49" s="15">
        <v>388</v>
      </c>
    </row>
    <row r="50" spans="1:10" ht="60.75" thickBot="1" x14ac:dyDescent="0.3">
      <c r="A50" s="11" t="s">
        <v>770</v>
      </c>
      <c r="B50" s="12" t="s">
        <v>771</v>
      </c>
      <c r="C50" s="13"/>
      <c r="D50" s="13" t="s">
        <v>346</v>
      </c>
      <c r="E50" s="14">
        <v>61.307899999999997</v>
      </c>
      <c r="F50" s="14">
        <v>-121.2992</v>
      </c>
      <c r="G50" s="14">
        <v>285</v>
      </c>
      <c r="H50" s="14" t="s">
        <v>513</v>
      </c>
      <c r="I50" s="14">
        <v>-2.8</v>
      </c>
      <c r="J50" s="16">
        <v>387.6</v>
      </c>
    </row>
    <row r="51" spans="1:10" ht="105.75" thickBot="1" x14ac:dyDescent="0.3">
      <c r="A51" s="7" t="s">
        <v>776</v>
      </c>
      <c r="B51" s="8" t="s">
        <v>777</v>
      </c>
      <c r="C51" s="9" t="s">
        <v>346</v>
      </c>
      <c r="D51" s="9"/>
      <c r="E51" s="10">
        <v>54.484999999999999</v>
      </c>
      <c r="F51" s="10">
        <v>-105.8176</v>
      </c>
      <c r="G51" s="10">
        <v>536</v>
      </c>
      <c r="H51" s="10" t="s">
        <v>513</v>
      </c>
      <c r="I51" s="10">
        <v>0.4</v>
      </c>
      <c r="J51" s="15">
        <v>470</v>
      </c>
    </row>
    <row r="52" spans="1:10" ht="105.75" thickBot="1" x14ac:dyDescent="0.3">
      <c r="A52" s="11" t="s">
        <v>782</v>
      </c>
      <c r="B52" s="12" t="s">
        <v>783</v>
      </c>
      <c r="C52" s="13" t="s">
        <v>346</v>
      </c>
      <c r="D52" s="13"/>
      <c r="E52" s="14">
        <v>54.253900000000002</v>
      </c>
      <c r="F52" s="14">
        <v>-105.8775</v>
      </c>
      <c r="G52" s="14">
        <v>520</v>
      </c>
      <c r="H52" s="14" t="s">
        <v>513</v>
      </c>
      <c r="I52" s="14">
        <v>0.4</v>
      </c>
      <c r="J52" s="16">
        <v>470</v>
      </c>
    </row>
    <row r="53" spans="1:10" ht="105.75" thickBot="1" x14ac:dyDescent="0.3">
      <c r="A53" s="7" t="s">
        <v>788</v>
      </c>
      <c r="B53" s="8" t="s">
        <v>789</v>
      </c>
      <c r="C53" s="9" t="s">
        <v>346</v>
      </c>
      <c r="D53" s="9"/>
      <c r="E53" s="10">
        <v>54.0916</v>
      </c>
      <c r="F53" s="10">
        <v>-106.00530000000001</v>
      </c>
      <c r="G53" s="10">
        <v>540</v>
      </c>
      <c r="H53" s="10" t="s">
        <v>581</v>
      </c>
      <c r="I53" s="10">
        <v>0.4</v>
      </c>
      <c r="J53" s="15">
        <v>470</v>
      </c>
    </row>
    <row r="54" spans="1:10" ht="105.75" thickBot="1" x14ac:dyDescent="0.3">
      <c r="A54" s="11" t="s">
        <v>810</v>
      </c>
      <c r="B54" s="12" t="s">
        <v>811</v>
      </c>
      <c r="C54" s="13" t="s">
        <v>346</v>
      </c>
      <c r="D54" s="13"/>
      <c r="E54" s="14">
        <v>42.660899999999998</v>
      </c>
      <c r="F54" s="14">
        <v>-80.5595</v>
      </c>
      <c r="G54" s="14">
        <v>265</v>
      </c>
      <c r="H54" s="14" t="s">
        <v>513</v>
      </c>
      <c r="I54" s="14">
        <v>8</v>
      </c>
      <c r="J54" s="16">
        <v>1036</v>
      </c>
    </row>
    <row r="55" spans="1:10" ht="105.75" thickBot="1" x14ac:dyDescent="0.3">
      <c r="A55" s="7" t="s">
        <v>817</v>
      </c>
      <c r="B55" s="8" t="s">
        <v>818</v>
      </c>
      <c r="C55" s="9" t="s">
        <v>346</v>
      </c>
      <c r="D55" s="9"/>
      <c r="E55" s="10">
        <v>42.7744</v>
      </c>
      <c r="F55" s="10">
        <v>-80.458799999999997</v>
      </c>
      <c r="G55" s="10">
        <v>212</v>
      </c>
      <c r="H55" s="10" t="s">
        <v>513</v>
      </c>
      <c r="I55" s="10">
        <v>8</v>
      </c>
      <c r="J55" s="15">
        <v>1036</v>
      </c>
    </row>
    <row r="56" spans="1:10" ht="105.75" thickBot="1" x14ac:dyDescent="0.3">
      <c r="A56" s="11" t="s">
        <v>822</v>
      </c>
      <c r="B56" s="12" t="s">
        <v>823</v>
      </c>
      <c r="C56" s="13" t="s">
        <v>346</v>
      </c>
      <c r="D56" s="13"/>
      <c r="E56" s="14">
        <v>42.706800000000001</v>
      </c>
      <c r="F56" s="14">
        <v>-80.348299999999995</v>
      </c>
      <c r="G56" s="14">
        <v>184</v>
      </c>
      <c r="H56" s="14" t="s">
        <v>513</v>
      </c>
      <c r="I56" s="14">
        <v>8</v>
      </c>
      <c r="J56" s="16">
        <v>1036</v>
      </c>
    </row>
    <row r="57" spans="1:10" ht="105.75" thickBot="1" x14ac:dyDescent="0.3">
      <c r="A57" s="7" t="s">
        <v>826</v>
      </c>
      <c r="B57" s="8" t="s">
        <v>827</v>
      </c>
      <c r="C57" s="9" t="s">
        <v>346</v>
      </c>
      <c r="D57" s="9"/>
      <c r="E57" s="10">
        <v>42.7102</v>
      </c>
      <c r="F57" s="10">
        <v>-80.357399999999998</v>
      </c>
      <c r="G57" s="10">
        <v>184</v>
      </c>
      <c r="H57" s="10" t="s">
        <v>513</v>
      </c>
      <c r="I57" s="10">
        <v>8</v>
      </c>
      <c r="J57" s="15">
        <v>1036</v>
      </c>
    </row>
    <row r="58" spans="1:10" ht="90.75" thickBot="1" x14ac:dyDescent="0.3">
      <c r="A58" s="11" t="s">
        <v>832</v>
      </c>
      <c r="B58" s="12" t="s">
        <v>833</v>
      </c>
      <c r="C58" s="13" t="s">
        <v>346</v>
      </c>
      <c r="D58" s="13"/>
      <c r="E58" s="14">
        <v>42.635300000000001</v>
      </c>
      <c r="F58" s="14">
        <v>-80.557699999999997</v>
      </c>
      <c r="G58" s="14">
        <v>260</v>
      </c>
      <c r="H58" s="14" t="s">
        <v>428</v>
      </c>
      <c r="I58" s="14">
        <v>8</v>
      </c>
      <c r="J58" s="16">
        <v>1036</v>
      </c>
    </row>
    <row r="59" spans="1:10" ht="30.75" thickBot="1" x14ac:dyDescent="0.3">
      <c r="A59" s="7" t="s">
        <v>3211</v>
      </c>
      <c r="B59" s="8" t="s">
        <v>3212</v>
      </c>
      <c r="C59" s="9" t="s">
        <v>346</v>
      </c>
      <c r="D59" s="9"/>
      <c r="E59" s="10">
        <v>-4.2892000000000001</v>
      </c>
      <c r="F59" s="10">
        <v>11.6564</v>
      </c>
      <c r="G59" s="10">
        <v>82</v>
      </c>
      <c r="H59" s="10" t="s">
        <v>1436</v>
      </c>
      <c r="I59" s="10">
        <v>25.7</v>
      </c>
      <c r="J59" s="15">
        <v>1150</v>
      </c>
    </row>
    <row r="60" spans="1:10" ht="15.75" thickBot="1" x14ac:dyDescent="0.3">
      <c r="A60" s="11" t="s">
        <v>154</v>
      </c>
      <c r="B60" s="12" t="s">
        <v>3213</v>
      </c>
      <c r="C60" s="13" t="s">
        <v>346</v>
      </c>
      <c r="D60" s="13" t="s">
        <v>346</v>
      </c>
      <c r="E60" s="14">
        <v>47.2102</v>
      </c>
      <c r="F60" s="14">
        <v>8.4103999999999992</v>
      </c>
      <c r="G60" s="14">
        <v>393</v>
      </c>
      <c r="H60" s="14" t="s">
        <v>367</v>
      </c>
      <c r="I60" s="14">
        <v>9.5</v>
      </c>
      <c r="J60" s="16">
        <v>1136</v>
      </c>
    </row>
    <row r="61" spans="1:10" ht="15.75" thickBot="1" x14ac:dyDescent="0.3">
      <c r="A61" s="7" t="s">
        <v>155</v>
      </c>
      <c r="B61" s="8" t="s">
        <v>3214</v>
      </c>
      <c r="C61" s="9" t="s">
        <v>346</v>
      </c>
      <c r="D61" s="9" t="s">
        <v>346</v>
      </c>
      <c r="E61" s="10">
        <v>46.815300000000001</v>
      </c>
      <c r="F61" s="10">
        <v>9.8559000000000001</v>
      </c>
      <c r="G61" s="10">
        <v>1639</v>
      </c>
      <c r="H61" s="10" t="s">
        <v>513</v>
      </c>
      <c r="I61" s="10">
        <v>2.8</v>
      </c>
      <c r="J61" s="15">
        <v>1062</v>
      </c>
    </row>
    <row r="62" spans="1:10" ht="15.75" thickBot="1" x14ac:dyDescent="0.3">
      <c r="A62" s="11" t="s">
        <v>156</v>
      </c>
      <c r="B62" s="12" t="s">
        <v>3215</v>
      </c>
      <c r="C62" s="13" t="s">
        <v>346</v>
      </c>
      <c r="D62" s="13"/>
      <c r="E62" s="14">
        <v>47.1158</v>
      </c>
      <c r="F62" s="14">
        <v>8.5378000000000007</v>
      </c>
      <c r="G62" s="14">
        <v>982</v>
      </c>
      <c r="H62" s="14" t="s">
        <v>367</v>
      </c>
      <c r="I62" s="14">
        <v>7.2</v>
      </c>
      <c r="J62" s="16">
        <v>1651</v>
      </c>
    </row>
    <row r="63" spans="1:10" ht="15.75" thickBot="1" x14ac:dyDescent="0.3">
      <c r="A63" s="7" t="s">
        <v>157</v>
      </c>
      <c r="B63" s="8" t="s">
        <v>3216</v>
      </c>
      <c r="C63" s="9" t="s">
        <v>346</v>
      </c>
      <c r="D63" s="9"/>
      <c r="E63" s="10">
        <v>47.478299999999997</v>
      </c>
      <c r="F63" s="10">
        <v>8.3643999999999998</v>
      </c>
      <c r="G63" s="10">
        <v>689</v>
      </c>
      <c r="H63" s="10" t="s">
        <v>479</v>
      </c>
      <c r="I63" s="10">
        <v>8.3000000000000007</v>
      </c>
      <c r="J63" s="15">
        <v>1100</v>
      </c>
    </row>
    <row r="64" spans="1:10" ht="60.75" thickBot="1" x14ac:dyDescent="0.3">
      <c r="A64" s="11" t="s">
        <v>3217</v>
      </c>
      <c r="B64" s="12" t="s">
        <v>3218</v>
      </c>
      <c r="C64" s="13" t="s">
        <v>346</v>
      </c>
      <c r="D64" s="13"/>
      <c r="E64" s="14">
        <v>47.285800000000002</v>
      </c>
      <c r="F64" s="14">
        <v>7.7319000000000004</v>
      </c>
      <c r="G64" s="14">
        <v>450</v>
      </c>
      <c r="H64" s="14" t="s">
        <v>367</v>
      </c>
      <c r="I64" s="14">
        <v>9</v>
      </c>
      <c r="J64" s="16">
        <v>1100</v>
      </c>
    </row>
    <row r="65" spans="1:10" ht="30.75" thickBot="1" x14ac:dyDescent="0.3">
      <c r="A65" s="7" t="s">
        <v>158</v>
      </c>
      <c r="B65" s="8" t="s">
        <v>3219</v>
      </c>
      <c r="C65" s="9" t="s">
        <v>346</v>
      </c>
      <c r="D65" s="9" t="s">
        <v>346</v>
      </c>
      <c r="E65" s="10">
        <v>47.2864</v>
      </c>
      <c r="F65" s="10">
        <v>7.7336999999999998</v>
      </c>
      <c r="G65" s="10">
        <v>452</v>
      </c>
      <c r="H65" s="10" t="s">
        <v>349</v>
      </c>
      <c r="I65" s="10">
        <v>9.8000000000000007</v>
      </c>
      <c r="J65" s="15">
        <v>1155</v>
      </c>
    </row>
    <row r="66" spans="1:10" ht="30.75" thickBot="1" x14ac:dyDescent="0.3">
      <c r="A66" s="11" t="s">
        <v>3220</v>
      </c>
      <c r="B66" s="12" t="s">
        <v>3221</v>
      </c>
      <c r="C66" s="13" t="s">
        <v>346</v>
      </c>
      <c r="D66" s="13"/>
      <c r="E66" s="14">
        <v>42.402500000000003</v>
      </c>
      <c r="F66" s="14">
        <v>128.0958</v>
      </c>
      <c r="G66" s="14"/>
      <c r="H66" s="14" t="s">
        <v>479</v>
      </c>
      <c r="I66" s="14">
        <v>2.16</v>
      </c>
      <c r="J66" s="16">
        <v>663.59</v>
      </c>
    </row>
    <row r="67" spans="1:10" ht="30.75" thickBot="1" x14ac:dyDescent="0.3">
      <c r="A67" s="7" t="s">
        <v>3222</v>
      </c>
      <c r="B67" s="8" t="s">
        <v>3223</v>
      </c>
      <c r="C67" s="9" t="s">
        <v>346</v>
      </c>
      <c r="D67" s="9"/>
      <c r="E67" s="10">
        <v>44.593400000000003</v>
      </c>
      <c r="F67" s="10">
        <v>123.50920000000001</v>
      </c>
      <c r="G67" s="10"/>
      <c r="H67" s="10" t="s">
        <v>367</v>
      </c>
      <c r="I67" s="10"/>
      <c r="J67" s="15"/>
    </row>
    <row r="68" spans="1:10" ht="30.75" thickBot="1" x14ac:dyDescent="0.3">
      <c r="A68" s="11" t="s">
        <v>3224</v>
      </c>
      <c r="B68" s="12" t="s">
        <v>3225</v>
      </c>
      <c r="C68" s="13" t="s">
        <v>346</v>
      </c>
      <c r="D68" s="13"/>
      <c r="E68" s="14">
        <v>30.497800000000002</v>
      </c>
      <c r="F68" s="14">
        <v>91.066400000000002</v>
      </c>
      <c r="G68" s="14"/>
      <c r="H68" s="14" t="s">
        <v>367</v>
      </c>
      <c r="I68" s="14">
        <v>-1.54</v>
      </c>
      <c r="J68" s="16">
        <v>246.88</v>
      </c>
    </row>
    <row r="69" spans="1:10" ht="30.75" thickBot="1" x14ac:dyDescent="0.3">
      <c r="A69" s="7" t="s">
        <v>3226</v>
      </c>
      <c r="B69" s="8" t="s">
        <v>3227</v>
      </c>
      <c r="C69" s="9" t="s">
        <v>346</v>
      </c>
      <c r="D69" s="9"/>
      <c r="E69" s="10">
        <v>23.173300000000001</v>
      </c>
      <c r="F69" s="10">
        <v>112.5361</v>
      </c>
      <c r="G69" s="10"/>
      <c r="H69" s="10" t="s">
        <v>397</v>
      </c>
      <c r="I69" s="10">
        <v>19.64</v>
      </c>
      <c r="J69" s="15">
        <v>1618.1</v>
      </c>
    </row>
    <row r="70" spans="1:10" ht="45.75" thickBot="1" x14ac:dyDescent="0.3">
      <c r="A70" s="11" t="s">
        <v>3228</v>
      </c>
      <c r="B70" s="12" t="s">
        <v>3229</v>
      </c>
      <c r="C70" s="13" t="s">
        <v>346</v>
      </c>
      <c r="D70" s="13"/>
      <c r="E70" s="14">
        <v>42.046700000000001</v>
      </c>
      <c r="F70" s="14">
        <v>116.28360000000001</v>
      </c>
      <c r="G70" s="14"/>
      <c r="H70" s="14" t="s">
        <v>367</v>
      </c>
      <c r="I70" s="14">
        <v>2.0099999999999998</v>
      </c>
      <c r="J70" s="16">
        <v>318.95999999999998</v>
      </c>
    </row>
    <row r="71" spans="1:10" ht="60.75" thickBot="1" x14ac:dyDescent="0.3">
      <c r="A71" s="7" t="s">
        <v>3230</v>
      </c>
      <c r="B71" s="8" t="s">
        <v>3231</v>
      </c>
      <c r="C71" s="9" t="s">
        <v>346</v>
      </c>
      <c r="D71" s="9"/>
      <c r="E71" s="10">
        <v>42.055100000000003</v>
      </c>
      <c r="F71" s="10">
        <v>116.2809</v>
      </c>
      <c r="G71" s="10"/>
      <c r="H71" s="10" t="s">
        <v>367</v>
      </c>
      <c r="I71" s="10"/>
      <c r="J71" s="15"/>
    </row>
    <row r="72" spans="1:10" ht="45.75" thickBot="1" x14ac:dyDescent="0.3">
      <c r="A72" s="11" t="s">
        <v>3232</v>
      </c>
      <c r="B72" s="12" t="s">
        <v>3233</v>
      </c>
      <c r="C72" s="13" t="s">
        <v>346</v>
      </c>
      <c r="D72" s="13"/>
      <c r="E72" s="14">
        <v>37.608600000000003</v>
      </c>
      <c r="F72" s="14">
        <v>101.32689999999999</v>
      </c>
      <c r="G72" s="14"/>
      <c r="H72" s="14" t="s">
        <v>376</v>
      </c>
      <c r="I72" s="14"/>
      <c r="J72" s="16"/>
    </row>
    <row r="73" spans="1:10" ht="60.75" thickBot="1" x14ac:dyDescent="0.3">
      <c r="A73" s="7" t="s">
        <v>3234</v>
      </c>
      <c r="B73" s="8" t="s">
        <v>3235</v>
      </c>
      <c r="C73" s="9" t="s">
        <v>346</v>
      </c>
      <c r="D73" s="9"/>
      <c r="E73" s="10">
        <v>37.369999999999997</v>
      </c>
      <c r="F73" s="10">
        <v>101.18</v>
      </c>
      <c r="G73" s="10"/>
      <c r="H73" s="10" t="s">
        <v>367</v>
      </c>
      <c r="I73" s="10"/>
      <c r="J73" s="15"/>
    </row>
    <row r="74" spans="1:10" ht="30.75" thickBot="1" x14ac:dyDescent="0.3">
      <c r="A74" s="11" t="s">
        <v>3236</v>
      </c>
      <c r="B74" s="12" t="s">
        <v>3237</v>
      </c>
      <c r="C74" s="13"/>
      <c r="D74" s="13" t="s">
        <v>346</v>
      </c>
      <c r="E74" s="14">
        <v>32.845300000000002</v>
      </c>
      <c r="F74" s="14">
        <v>102.59</v>
      </c>
      <c r="G74" s="14">
        <v>3500</v>
      </c>
      <c r="H74" s="14" t="s">
        <v>367</v>
      </c>
      <c r="I74" s="14">
        <v>1.5</v>
      </c>
      <c r="J74" s="16">
        <v>747</v>
      </c>
    </row>
    <row r="75" spans="1:10" ht="30.75" thickBot="1" x14ac:dyDescent="0.3">
      <c r="A75" s="7" t="s">
        <v>3238</v>
      </c>
      <c r="B75" s="8" t="s">
        <v>3239</v>
      </c>
      <c r="C75" s="9" t="s">
        <v>346</v>
      </c>
      <c r="D75" s="9"/>
      <c r="E75" s="10">
        <v>26.741399999999999</v>
      </c>
      <c r="F75" s="10">
        <v>115.0581</v>
      </c>
      <c r="G75" s="10"/>
      <c r="H75" s="10" t="s">
        <v>513</v>
      </c>
      <c r="I75" s="10">
        <v>18.95</v>
      </c>
      <c r="J75" s="15">
        <v>1466.75</v>
      </c>
    </row>
    <row r="76" spans="1:10" ht="45.75" thickBot="1" x14ac:dyDescent="0.3">
      <c r="A76" s="11" t="s">
        <v>3240</v>
      </c>
      <c r="B76" s="12" t="s">
        <v>3241</v>
      </c>
      <c r="C76" s="13" t="s">
        <v>346</v>
      </c>
      <c r="D76" s="13"/>
      <c r="E76" s="14">
        <v>41.790199999999999</v>
      </c>
      <c r="F76" s="14">
        <v>111.89709999999999</v>
      </c>
      <c r="G76" s="14"/>
      <c r="H76" s="14" t="s">
        <v>367</v>
      </c>
      <c r="I76" s="14"/>
      <c r="J76" s="16"/>
    </row>
    <row r="77" spans="1:10" ht="30.75" thickBot="1" x14ac:dyDescent="0.3">
      <c r="A77" s="7" t="s">
        <v>159</v>
      </c>
      <c r="B77" s="8" t="s">
        <v>3242</v>
      </c>
      <c r="C77" s="9" t="s">
        <v>346</v>
      </c>
      <c r="D77" s="9"/>
      <c r="E77" s="10">
        <v>49.502099999999999</v>
      </c>
      <c r="F77" s="10">
        <v>18.536899999999999</v>
      </c>
      <c r="G77" s="10">
        <v>875</v>
      </c>
      <c r="H77" s="10" t="s">
        <v>513</v>
      </c>
      <c r="I77" s="10">
        <v>6.7</v>
      </c>
      <c r="J77" s="15">
        <v>1316</v>
      </c>
    </row>
    <row r="78" spans="1:10" ht="45.75" thickBot="1" x14ac:dyDescent="0.3">
      <c r="A78" s="11" t="s">
        <v>3243</v>
      </c>
      <c r="B78" s="12" t="s">
        <v>3244</v>
      </c>
      <c r="C78" s="13" t="s">
        <v>346</v>
      </c>
      <c r="D78" s="13"/>
      <c r="E78" s="14">
        <v>49.494399999999999</v>
      </c>
      <c r="F78" s="14">
        <v>18.542899999999999</v>
      </c>
      <c r="G78" s="14">
        <v>855</v>
      </c>
      <c r="H78" s="14" t="s">
        <v>367</v>
      </c>
      <c r="I78" s="14">
        <v>6.7</v>
      </c>
      <c r="J78" s="16">
        <v>1316</v>
      </c>
    </row>
    <row r="79" spans="1:10" ht="45.75" thickBot="1" x14ac:dyDescent="0.3">
      <c r="A79" s="7" t="s">
        <v>163</v>
      </c>
      <c r="B79" s="8" t="s">
        <v>3245</v>
      </c>
      <c r="C79" s="9" t="s">
        <v>346</v>
      </c>
      <c r="D79" s="9"/>
      <c r="E79" s="10">
        <v>49.024700000000003</v>
      </c>
      <c r="F79" s="10">
        <v>14.7704</v>
      </c>
      <c r="G79" s="10">
        <v>426</v>
      </c>
      <c r="H79" s="10" t="s">
        <v>376</v>
      </c>
      <c r="I79" s="10">
        <v>7.7</v>
      </c>
      <c r="J79" s="15">
        <v>604</v>
      </c>
    </row>
    <row r="80" spans="1:10" ht="15.75" thickBot="1" x14ac:dyDescent="0.3">
      <c r="A80" s="11" t="s">
        <v>164</v>
      </c>
      <c r="B80" s="12" t="s">
        <v>3246</v>
      </c>
      <c r="C80" s="13" t="s">
        <v>346</v>
      </c>
      <c r="D80" s="13"/>
      <c r="E80" s="14">
        <v>53.866199999999999</v>
      </c>
      <c r="F80" s="14">
        <v>13.683400000000001</v>
      </c>
      <c r="G80" s="14">
        <v>-1</v>
      </c>
      <c r="H80" s="14" t="s">
        <v>376</v>
      </c>
      <c r="I80" s="14">
        <v>8.6999999999999993</v>
      </c>
      <c r="J80" s="16">
        <v>558</v>
      </c>
    </row>
    <row r="81" spans="1:10" ht="30.75" thickBot="1" x14ac:dyDescent="0.3">
      <c r="A81" s="7" t="s">
        <v>3247</v>
      </c>
      <c r="B81" s="8" t="s">
        <v>3248</v>
      </c>
      <c r="C81" s="9"/>
      <c r="D81" s="9" t="s">
        <v>346</v>
      </c>
      <c r="E81" s="10">
        <v>53.151400000000002</v>
      </c>
      <c r="F81" s="10">
        <v>13.0543</v>
      </c>
      <c r="G81" s="10">
        <v>60</v>
      </c>
      <c r="H81" s="10" t="s">
        <v>918</v>
      </c>
      <c r="I81" s="10">
        <v>9.02</v>
      </c>
      <c r="J81" s="15">
        <v>602.9</v>
      </c>
    </row>
    <row r="82" spans="1:10" ht="15.75" thickBot="1" x14ac:dyDescent="0.3">
      <c r="A82" s="11" t="s">
        <v>165</v>
      </c>
      <c r="B82" s="12" t="s">
        <v>3249</v>
      </c>
      <c r="C82" s="13" t="s">
        <v>346</v>
      </c>
      <c r="D82" s="13"/>
      <c r="E82" s="14">
        <v>51.099699999999999</v>
      </c>
      <c r="F82" s="14">
        <v>10.9146</v>
      </c>
      <c r="G82" s="14">
        <v>161.5</v>
      </c>
      <c r="H82" s="14" t="s">
        <v>349</v>
      </c>
      <c r="I82" s="14">
        <v>8.5</v>
      </c>
      <c r="J82" s="16">
        <v>470</v>
      </c>
    </row>
    <row r="83" spans="1:10" ht="30.75" thickBot="1" x14ac:dyDescent="0.3">
      <c r="A83" s="7" t="s">
        <v>166</v>
      </c>
      <c r="B83" s="8" t="s">
        <v>3250</v>
      </c>
      <c r="C83" s="9" t="s">
        <v>346</v>
      </c>
      <c r="D83" s="9"/>
      <c r="E83" s="10">
        <v>50.95</v>
      </c>
      <c r="F83" s="10">
        <v>13.512600000000001</v>
      </c>
      <c r="G83" s="10">
        <v>385</v>
      </c>
      <c r="H83" s="10" t="s">
        <v>367</v>
      </c>
      <c r="I83" s="10">
        <v>7.8</v>
      </c>
      <c r="J83" s="15">
        <v>901</v>
      </c>
    </row>
    <row r="84" spans="1:10" ht="15.75" thickBot="1" x14ac:dyDescent="0.3">
      <c r="A84" s="11" t="s">
        <v>167</v>
      </c>
      <c r="B84" s="12" t="s">
        <v>3251</v>
      </c>
      <c r="C84" s="13" t="s">
        <v>346</v>
      </c>
      <c r="D84" s="13"/>
      <c r="E84" s="14">
        <v>51.0792</v>
      </c>
      <c r="F84" s="14">
        <v>10.452199999999999</v>
      </c>
      <c r="G84" s="14">
        <v>430</v>
      </c>
      <c r="H84" s="14" t="s">
        <v>428</v>
      </c>
      <c r="I84" s="14">
        <v>8.3000000000000007</v>
      </c>
      <c r="J84" s="16">
        <v>720</v>
      </c>
    </row>
    <row r="85" spans="1:10" ht="30.75" thickBot="1" x14ac:dyDescent="0.3">
      <c r="A85" s="7" t="s">
        <v>169</v>
      </c>
      <c r="B85" s="8" t="s">
        <v>3252</v>
      </c>
      <c r="C85" s="9"/>
      <c r="D85" s="9" t="s">
        <v>346</v>
      </c>
      <c r="E85" s="10">
        <v>54.210299999999997</v>
      </c>
      <c r="F85" s="10">
        <v>12.1761</v>
      </c>
      <c r="G85" s="10">
        <v>0.2</v>
      </c>
      <c r="H85" s="10" t="s">
        <v>376</v>
      </c>
      <c r="I85" s="10">
        <v>9.1999999999999993</v>
      </c>
      <c r="J85" s="15">
        <v>645</v>
      </c>
    </row>
    <row r="86" spans="1:10" ht="30.75" thickBot="1" x14ac:dyDescent="0.3">
      <c r="A86" s="11" t="s">
        <v>171</v>
      </c>
      <c r="B86" s="12" t="s">
        <v>3253</v>
      </c>
      <c r="C86" s="13" t="s">
        <v>346</v>
      </c>
      <c r="D86" s="13"/>
      <c r="E86" s="14">
        <v>50.893099999999997</v>
      </c>
      <c r="F86" s="14">
        <v>13.522399999999999</v>
      </c>
      <c r="G86" s="14">
        <v>478</v>
      </c>
      <c r="H86" s="14" t="s">
        <v>349</v>
      </c>
      <c r="I86" s="14">
        <v>7.6</v>
      </c>
      <c r="J86" s="16">
        <v>842</v>
      </c>
    </row>
    <row r="87" spans="1:10" ht="30.75" thickBot="1" x14ac:dyDescent="0.3">
      <c r="A87" s="7" t="s">
        <v>3254</v>
      </c>
      <c r="B87" s="8" t="s">
        <v>3255</v>
      </c>
      <c r="C87" s="9" t="s">
        <v>346</v>
      </c>
      <c r="D87" s="9"/>
      <c r="E87" s="10">
        <v>49.099600000000002</v>
      </c>
      <c r="F87" s="10">
        <v>13.3047</v>
      </c>
      <c r="G87" s="10">
        <v>1308</v>
      </c>
      <c r="H87" s="10" t="s">
        <v>513</v>
      </c>
      <c r="I87" s="10">
        <v>4</v>
      </c>
      <c r="J87" s="15">
        <v>1599</v>
      </c>
    </row>
    <row r="88" spans="1:10" ht="30.75" thickBot="1" x14ac:dyDescent="0.3">
      <c r="A88" s="11" t="s">
        <v>3256</v>
      </c>
      <c r="B88" s="12" t="s">
        <v>3257</v>
      </c>
      <c r="C88" s="13" t="s">
        <v>346</v>
      </c>
      <c r="D88" s="13"/>
      <c r="E88" s="14">
        <v>51.328200000000002</v>
      </c>
      <c r="F88" s="14">
        <v>10.367800000000001</v>
      </c>
      <c r="G88" s="14">
        <v>451</v>
      </c>
      <c r="H88" s="14" t="s">
        <v>428</v>
      </c>
      <c r="I88" s="14">
        <v>6.96</v>
      </c>
      <c r="J88" s="16">
        <v>894.6</v>
      </c>
    </row>
    <row r="89" spans="1:10" ht="30.75" thickBot="1" x14ac:dyDescent="0.3">
      <c r="A89" s="7" t="s">
        <v>172</v>
      </c>
      <c r="B89" s="8" t="s">
        <v>3258</v>
      </c>
      <c r="C89" s="9" t="s">
        <v>346</v>
      </c>
      <c r="D89" s="9"/>
      <c r="E89" s="10">
        <v>50.786700000000003</v>
      </c>
      <c r="F89" s="10">
        <v>13.721299999999999</v>
      </c>
      <c r="G89" s="10">
        <v>734</v>
      </c>
      <c r="H89" s="10" t="s">
        <v>513</v>
      </c>
      <c r="I89" s="10">
        <v>5.5</v>
      </c>
      <c r="J89" s="15">
        <v>996</v>
      </c>
    </row>
    <row r="90" spans="1:10" ht="30.75" thickBot="1" x14ac:dyDescent="0.3">
      <c r="A90" s="11" t="s">
        <v>173</v>
      </c>
      <c r="B90" s="12" t="s">
        <v>3259</v>
      </c>
      <c r="C90" s="13" t="s">
        <v>346</v>
      </c>
      <c r="D90" s="13"/>
      <c r="E90" s="14">
        <v>50.621899999999997</v>
      </c>
      <c r="F90" s="14">
        <v>6.3041</v>
      </c>
      <c r="G90" s="14">
        <v>514.70000000000005</v>
      </c>
      <c r="H90" s="14" t="s">
        <v>367</v>
      </c>
      <c r="I90" s="14">
        <v>7.7</v>
      </c>
      <c r="J90" s="16">
        <v>1033</v>
      </c>
    </row>
    <row r="91" spans="1:10" ht="30.75" thickBot="1" x14ac:dyDescent="0.3">
      <c r="A91" s="7" t="s">
        <v>174</v>
      </c>
      <c r="B91" s="8" t="s">
        <v>3260</v>
      </c>
      <c r="C91" s="9" t="s">
        <v>346</v>
      </c>
      <c r="D91" s="9"/>
      <c r="E91" s="10">
        <v>50.865900000000003</v>
      </c>
      <c r="F91" s="10">
        <v>6.4470999999999998</v>
      </c>
      <c r="G91" s="10">
        <v>102.755</v>
      </c>
      <c r="H91" s="10" t="s">
        <v>349</v>
      </c>
      <c r="I91" s="10">
        <v>10</v>
      </c>
      <c r="J91" s="15">
        <v>700</v>
      </c>
    </row>
    <row r="92" spans="1:10" ht="30.75" thickBot="1" x14ac:dyDescent="0.3">
      <c r="A92" s="11" t="s">
        <v>3261</v>
      </c>
      <c r="B92" s="12" t="s">
        <v>3262</v>
      </c>
      <c r="C92" s="13" t="s">
        <v>346</v>
      </c>
      <c r="D92" s="13"/>
      <c r="E92" s="14">
        <v>50.870600000000003</v>
      </c>
      <c r="F92" s="14">
        <v>6.4497</v>
      </c>
      <c r="G92" s="14">
        <v>103</v>
      </c>
      <c r="H92" s="14" t="s">
        <v>349</v>
      </c>
      <c r="I92" s="14">
        <v>9.9</v>
      </c>
      <c r="J92" s="16">
        <v>693</v>
      </c>
    </row>
    <row r="93" spans="1:10" ht="45.75" thickBot="1" x14ac:dyDescent="0.3">
      <c r="A93" s="7" t="s">
        <v>3263</v>
      </c>
      <c r="B93" s="8" t="s">
        <v>3264</v>
      </c>
      <c r="C93" s="9" t="s">
        <v>346</v>
      </c>
      <c r="D93" s="9" t="s">
        <v>346</v>
      </c>
      <c r="E93" s="10">
        <v>47.806399999999996</v>
      </c>
      <c r="F93" s="10">
        <v>11.327500000000001</v>
      </c>
      <c r="G93" s="10">
        <v>590</v>
      </c>
      <c r="H93" s="10" t="s">
        <v>376</v>
      </c>
      <c r="I93" s="10">
        <v>8.6</v>
      </c>
      <c r="J93" s="15">
        <v>1127</v>
      </c>
    </row>
    <row r="94" spans="1:10" ht="30.75" thickBot="1" x14ac:dyDescent="0.3">
      <c r="A94" s="11" t="s">
        <v>3265</v>
      </c>
      <c r="B94" s="12" t="s">
        <v>3266</v>
      </c>
      <c r="C94" s="13" t="s">
        <v>346</v>
      </c>
      <c r="D94" s="13"/>
      <c r="E94" s="14">
        <v>51.892200000000003</v>
      </c>
      <c r="F94" s="14">
        <v>14.0337</v>
      </c>
      <c r="G94" s="14">
        <v>61</v>
      </c>
      <c r="H94" s="14" t="s">
        <v>376</v>
      </c>
      <c r="I94" s="14">
        <v>8.6999999999999993</v>
      </c>
      <c r="J94" s="16">
        <v>558</v>
      </c>
    </row>
    <row r="95" spans="1:10" ht="15.75" thickBot="1" x14ac:dyDescent="0.3">
      <c r="A95" s="7" t="s">
        <v>176</v>
      </c>
      <c r="B95" s="8" t="s">
        <v>3267</v>
      </c>
      <c r="C95" s="9" t="s">
        <v>346</v>
      </c>
      <c r="D95" s="9"/>
      <c r="E95" s="10">
        <v>50.962600000000002</v>
      </c>
      <c r="F95" s="10">
        <v>13.565099999999999</v>
      </c>
      <c r="G95" s="10">
        <v>385</v>
      </c>
      <c r="H95" s="10" t="s">
        <v>513</v>
      </c>
      <c r="I95" s="10">
        <v>8.1999999999999993</v>
      </c>
      <c r="J95" s="15">
        <v>843</v>
      </c>
    </row>
    <row r="96" spans="1:10" ht="30.75" thickBot="1" x14ac:dyDescent="0.3">
      <c r="A96" s="11" t="s">
        <v>3268</v>
      </c>
      <c r="B96" s="12" t="s">
        <v>3269</v>
      </c>
      <c r="C96" s="13" t="s">
        <v>346</v>
      </c>
      <c r="D96" s="13" t="s">
        <v>346</v>
      </c>
      <c r="E96" s="14">
        <v>53.875900000000001</v>
      </c>
      <c r="F96" s="14">
        <v>12.888999999999999</v>
      </c>
      <c r="G96" s="14">
        <v>0</v>
      </c>
      <c r="H96" s="14" t="s">
        <v>376</v>
      </c>
      <c r="I96" s="14">
        <v>8.6999999999999993</v>
      </c>
      <c r="J96" s="16">
        <v>584</v>
      </c>
    </row>
    <row r="97" spans="1:10" ht="15.75" thickBot="1" x14ac:dyDescent="0.3">
      <c r="A97" s="7" t="s">
        <v>3270</v>
      </c>
      <c r="B97" s="8" t="s">
        <v>3271</v>
      </c>
      <c r="C97" s="9" t="s">
        <v>346</v>
      </c>
      <c r="D97" s="9"/>
      <c r="E97" s="10">
        <v>55.6905</v>
      </c>
      <c r="F97" s="10">
        <v>12.191800000000001</v>
      </c>
      <c r="G97" s="10">
        <v>10</v>
      </c>
      <c r="H97" s="10" t="s">
        <v>367</v>
      </c>
      <c r="I97" s="10">
        <v>8</v>
      </c>
      <c r="J97" s="15">
        <v>613</v>
      </c>
    </row>
    <row r="98" spans="1:10" ht="15.75" thickBot="1" x14ac:dyDescent="0.3">
      <c r="A98" s="11" t="s">
        <v>3272</v>
      </c>
      <c r="B98" s="12" t="s">
        <v>3273</v>
      </c>
      <c r="C98" s="13" t="s">
        <v>346</v>
      </c>
      <c r="D98" s="13"/>
      <c r="E98" s="14">
        <v>56.484200000000001</v>
      </c>
      <c r="F98" s="14">
        <v>9.5871999999999993</v>
      </c>
      <c r="G98" s="14">
        <v>51</v>
      </c>
      <c r="H98" s="14" t="s">
        <v>349</v>
      </c>
      <c r="I98" s="14">
        <v>8</v>
      </c>
      <c r="J98" s="16"/>
    </row>
    <row r="99" spans="1:10" ht="15.75" thickBot="1" x14ac:dyDescent="0.3">
      <c r="A99" s="7" t="s">
        <v>177</v>
      </c>
      <c r="B99" s="8" t="s">
        <v>3274</v>
      </c>
      <c r="C99" s="9" t="s">
        <v>346</v>
      </c>
      <c r="D99" s="9"/>
      <c r="E99" s="10">
        <v>55.485900000000001</v>
      </c>
      <c r="F99" s="10">
        <v>11.644600000000001</v>
      </c>
      <c r="G99" s="10">
        <v>40</v>
      </c>
      <c r="H99" s="10" t="s">
        <v>428</v>
      </c>
      <c r="I99" s="10">
        <v>8.1999999999999993</v>
      </c>
      <c r="J99" s="15">
        <v>660</v>
      </c>
    </row>
    <row r="100" spans="1:10" ht="30.75" thickBot="1" x14ac:dyDescent="0.3">
      <c r="A100" s="11" t="s">
        <v>3275</v>
      </c>
      <c r="B100" s="12" t="s">
        <v>3276</v>
      </c>
      <c r="C100" s="13" t="s">
        <v>346</v>
      </c>
      <c r="D100" s="13"/>
      <c r="E100" s="14">
        <v>36.833599999999997</v>
      </c>
      <c r="F100" s="14">
        <v>-2.2523</v>
      </c>
      <c r="G100" s="14">
        <v>58</v>
      </c>
      <c r="H100" s="14" t="s">
        <v>581</v>
      </c>
      <c r="I100" s="14"/>
      <c r="J100" s="16">
        <v>0</v>
      </c>
    </row>
    <row r="101" spans="1:10" ht="45.75" thickBot="1" x14ac:dyDescent="0.3">
      <c r="A101" s="7" t="s">
        <v>209</v>
      </c>
      <c r="B101" s="8" t="s">
        <v>3277</v>
      </c>
      <c r="C101" s="9" t="s">
        <v>346</v>
      </c>
      <c r="D101" s="9"/>
      <c r="E101" s="10">
        <v>36.926600000000001</v>
      </c>
      <c r="F101" s="10">
        <v>-2.7521</v>
      </c>
      <c r="G101" s="10">
        <v>1600</v>
      </c>
      <c r="H101" s="10" t="s">
        <v>581</v>
      </c>
      <c r="I101" s="10">
        <v>16</v>
      </c>
      <c r="J101" s="15">
        <v>400</v>
      </c>
    </row>
    <row r="102" spans="1:10" ht="30.75" thickBot="1" x14ac:dyDescent="0.3">
      <c r="A102" s="11" t="s">
        <v>3278</v>
      </c>
      <c r="B102" s="12" t="s">
        <v>3279</v>
      </c>
      <c r="C102" s="13" t="s">
        <v>346</v>
      </c>
      <c r="D102" s="13"/>
      <c r="E102" s="14">
        <v>37.097900000000003</v>
      </c>
      <c r="F102" s="14">
        <v>-2.9658000000000002</v>
      </c>
      <c r="G102" s="14">
        <v>2267</v>
      </c>
      <c r="H102" s="14" t="s">
        <v>581</v>
      </c>
      <c r="I102" s="14"/>
      <c r="J102" s="16"/>
    </row>
    <row r="103" spans="1:10" ht="45.75" thickBot="1" x14ac:dyDescent="0.3">
      <c r="A103" s="7" t="s">
        <v>3280</v>
      </c>
      <c r="B103" s="8" t="s">
        <v>3281</v>
      </c>
      <c r="C103" s="9" t="s">
        <v>346</v>
      </c>
      <c r="D103" s="9"/>
      <c r="E103" s="10">
        <v>36.969499999999996</v>
      </c>
      <c r="F103" s="10">
        <v>-3.4758</v>
      </c>
      <c r="G103" s="10">
        <v>2249</v>
      </c>
      <c r="H103" s="10" t="s">
        <v>581</v>
      </c>
      <c r="I103" s="10"/>
      <c r="J103" s="15"/>
    </row>
    <row r="104" spans="1:10" ht="15.75" thickBot="1" x14ac:dyDescent="0.3">
      <c r="A104" s="11" t="s">
        <v>181</v>
      </c>
      <c r="B104" s="12" t="s">
        <v>3282</v>
      </c>
      <c r="C104" s="13" t="s">
        <v>346</v>
      </c>
      <c r="D104" s="13" t="s">
        <v>346</v>
      </c>
      <c r="E104" s="14">
        <v>61.8474</v>
      </c>
      <c r="F104" s="14">
        <v>24.294799999999999</v>
      </c>
      <c r="G104" s="14">
        <v>181</v>
      </c>
      <c r="H104" s="14" t="s">
        <v>513</v>
      </c>
      <c r="I104" s="14">
        <v>3.8</v>
      </c>
      <c r="J104" s="16">
        <v>709</v>
      </c>
    </row>
    <row r="105" spans="1:10" ht="30.75" thickBot="1" x14ac:dyDescent="0.3">
      <c r="A105" s="7" t="s">
        <v>3283</v>
      </c>
      <c r="B105" s="8" t="s">
        <v>3284</v>
      </c>
      <c r="C105" s="9" t="s">
        <v>346</v>
      </c>
      <c r="D105" s="9"/>
      <c r="E105" s="10">
        <v>60.898600000000002</v>
      </c>
      <c r="F105" s="10">
        <v>23.513400000000001</v>
      </c>
      <c r="G105" s="10">
        <v>109</v>
      </c>
      <c r="H105" s="10" t="s">
        <v>349</v>
      </c>
      <c r="I105" s="10">
        <v>4.5999999999999996</v>
      </c>
      <c r="J105" s="15">
        <v>627</v>
      </c>
    </row>
    <row r="106" spans="1:10" ht="15.75" thickBot="1" x14ac:dyDescent="0.3">
      <c r="A106" s="11" t="s">
        <v>182</v>
      </c>
      <c r="B106" s="12" t="s">
        <v>3285</v>
      </c>
      <c r="C106" s="13" t="s">
        <v>346</v>
      </c>
      <c r="D106" s="13"/>
      <c r="E106" s="14">
        <v>60.641800000000003</v>
      </c>
      <c r="F106" s="14">
        <v>23.959499999999998</v>
      </c>
      <c r="G106" s="14">
        <v>111</v>
      </c>
      <c r="H106" s="14" t="s">
        <v>513</v>
      </c>
      <c r="I106" s="14">
        <v>4.5999999999999996</v>
      </c>
      <c r="J106" s="16">
        <v>627</v>
      </c>
    </row>
    <row r="107" spans="1:10" ht="30.75" thickBot="1" x14ac:dyDescent="0.3">
      <c r="A107" s="7" t="s">
        <v>3286</v>
      </c>
      <c r="B107" s="8" t="s">
        <v>3287</v>
      </c>
      <c r="C107" s="9" t="s">
        <v>346</v>
      </c>
      <c r="D107" s="9" t="s">
        <v>346</v>
      </c>
      <c r="E107" s="10">
        <v>67.997200000000007</v>
      </c>
      <c r="F107" s="10">
        <v>24.209199999999999</v>
      </c>
      <c r="G107" s="10">
        <v>274</v>
      </c>
      <c r="H107" s="10" t="s">
        <v>376</v>
      </c>
      <c r="I107" s="10">
        <v>-1.4</v>
      </c>
      <c r="J107" s="15">
        <v>484</v>
      </c>
    </row>
    <row r="108" spans="1:10" ht="30.75" thickBot="1" x14ac:dyDescent="0.3">
      <c r="A108" s="11" t="s">
        <v>3288</v>
      </c>
      <c r="B108" s="12" t="s">
        <v>3289</v>
      </c>
      <c r="C108" s="13"/>
      <c r="D108" s="13" t="s">
        <v>346</v>
      </c>
      <c r="E108" s="14">
        <v>61.837200000000003</v>
      </c>
      <c r="F108" s="14">
        <v>24.1967</v>
      </c>
      <c r="G108" s="14">
        <v>160</v>
      </c>
      <c r="H108" s="14" t="s">
        <v>376</v>
      </c>
      <c r="I108" s="14">
        <v>3.5</v>
      </c>
      <c r="J108" s="16">
        <v>701</v>
      </c>
    </row>
    <row r="109" spans="1:10" ht="30.75" thickBot="1" x14ac:dyDescent="0.3">
      <c r="A109" s="7" t="s">
        <v>183</v>
      </c>
      <c r="B109" s="8" t="s">
        <v>3290</v>
      </c>
      <c r="C109" s="9"/>
      <c r="D109" s="9" t="s">
        <v>346</v>
      </c>
      <c r="E109" s="10">
        <v>61.832700000000003</v>
      </c>
      <c r="F109" s="10">
        <v>24.192799999999998</v>
      </c>
      <c r="G109" s="10">
        <v>160</v>
      </c>
      <c r="H109" s="10" t="s">
        <v>376</v>
      </c>
      <c r="I109" s="10">
        <v>3.5</v>
      </c>
      <c r="J109" s="15">
        <v>701</v>
      </c>
    </row>
    <row r="110" spans="1:10" ht="30.75" thickBot="1" x14ac:dyDescent="0.3">
      <c r="A110" s="11" t="s">
        <v>3291</v>
      </c>
      <c r="B110" s="12" t="s">
        <v>3292</v>
      </c>
      <c r="C110" s="13" t="s">
        <v>346</v>
      </c>
      <c r="D110" s="13"/>
      <c r="E110" s="14">
        <v>67.362399999999994</v>
      </c>
      <c r="F110" s="14">
        <v>26.6386</v>
      </c>
      <c r="G110" s="14">
        <v>180</v>
      </c>
      <c r="H110" s="14" t="s">
        <v>513</v>
      </c>
      <c r="I110" s="14">
        <v>-1</v>
      </c>
      <c r="J110" s="16">
        <v>500</v>
      </c>
    </row>
    <row r="111" spans="1:10" ht="45.75" thickBot="1" x14ac:dyDescent="0.3">
      <c r="A111" s="7" t="s">
        <v>214</v>
      </c>
      <c r="B111" s="8" t="s">
        <v>3293</v>
      </c>
      <c r="C111" s="9" t="s">
        <v>346</v>
      </c>
      <c r="D111" s="9"/>
      <c r="E111" s="10">
        <v>48.476399999999998</v>
      </c>
      <c r="F111" s="10">
        <v>2.7801</v>
      </c>
      <c r="G111" s="10">
        <v>103</v>
      </c>
      <c r="H111" s="10" t="s">
        <v>428</v>
      </c>
      <c r="I111" s="10">
        <v>10.199999999999999</v>
      </c>
      <c r="J111" s="15">
        <v>720</v>
      </c>
    </row>
    <row r="112" spans="1:10" ht="15.75" thickBot="1" x14ac:dyDescent="0.3">
      <c r="A112" s="11" t="s">
        <v>215</v>
      </c>
      <c r="B112" s="12" t="s">
        <v>3294</v>
      </c>
      <c r="C112" s="13" t="s">
        <v>346</v>
      </c>
      <c r="D112" s="13"/>
      <c r="E112" s="14">
        <v>48.844200000000001</v>
      </c>
      <c r="F112" s="14">
        <v>1.9519</v>
      </c>
      <c r="G112" s="14">
        <v>125</v>
      </c>
      <c r="H112" s="14" t="s">
        <v>349</v>
      </c>
      <c r="I112" s="14">
        <v>12</v>
      </c>
      <c r="J112" s="16">
        <v>650</v>
      </c>
    </row>
    <row r="113" spans="1:10" ht="15.75" thickBot="1" x14ac:dyDescent="0.3">
      <c r="A113" s="7" t="s">
        <v>3295</v>
      </c>
      <c r="B113" s="8" t="s">
        <v>3296</v>
      </c>
      <c r="C113" s="9" t="s">
        <v>346</v>
      </c>
      <c r="D113" s="9"/>
      <c r="E113" s="10">
        <v>44.717100000000002</v>
      </c>
      <c r="F113" s="10">
        <v>-0.76929999999999998</v>
      </c>
      <c r="G113" s="10">
        <v>61</v>
      </c>
      <c r="H113" s="10" t="s">
        <v>513</v>
      </c>
      <c r="I113" s="10">
        <v>13.6</v>
      </c>
      <c r="J113" s="15">
        <v>900</v>
      </c>
    </row>
    <row r="114" spans="1:10" ht="30.75" thickBot="1" x14ac:dyDescent="0.3">
      <c r="A114" s="11" t="s">
        <v>217</v>
      </c>
      <c r="B114" s="12" t="s">
        <v>3297</v>
      </c>
      <c r="C114" s="13"/>
      <c r="D114" s="13" t="s">
        <v>346</v>
      </c>
      <c r="E114" s="14">
        <v>47.322899999999997</v>
      </c>
      <c r="F114" s="14">
        <v>2.2841</v>
      </c>
      <c r="G114" s="14"/>
      <c r="H114" s="14" t="s">
        <v>376</v>
      </c>
      <c r="I114" s="14"/>
      <c r="J114" s="16"/>
    </row>
    <row r="115" spans="1:10" ht="30.75" thickBot="1" x14ac:dyDescent="0.3">
      <c r="A115" s="7" t="s">
        <v>3298</v>
      </c>
      <c r="B115" s="8" t="s">
        <v>3299</v>
      </c>
      <c r="C115" s="9" t="s">
        <v>346</v>
      </c>
      <c r="D115" s="9"/>
      <c r="E115" s="10">
        <v>43.741300000000003</v>
      </c>
      <c r="F115" s="10">
        <v>3.5956999999999999</v>
      </c>
      <c r="G115" s="10">
        <v>270</v>
      </c>
      <c r="H115" s="10" t="s">
        <v>397</v>
      </c>
      <c r="I115" s="10">
        <v>13.5</v>
      </c>
      <c r="J115" s="15">
        <v>883</v>
      </c>
    </row>
    <row r="116" spans="1:10" ht="45.75" thickBot="1" x14ac:dyDescent="0.3">
      <c r="A116" s="11" t="s">
        <v>219</v>
      </c>
      <c r="B116" s="12" t="s">
        <v>3300</v>
      </c>
      <c r="C116" s="13" t="s">
        <v>346</v>
      </c>
      <c r="D116" s="13"/>
      <c r="E116" s="14">
        <v>5.2788000000000004</v>
      </c>
      <c r="F116" s="14">
        <v>-52.924900000000001</v>
      </c>
      <c r="G116" s="14">
        <v>48</v>
      </c>
      <c r="H116" s="14" t="s">
        <v>397</v>
      </c>
      <c r="I116" s="14">
        <v>25.7</v>
      </c>
      <c r="J116" s="16">
        <v>3041</v>
      </c>
    </row>
    <row r="117" spans="1:10" ht="15.75" thickBot="1" x14ac:dyDescent="0.3">
      <c r="A117" s="7" t="s">
        <v>3301</v>
      </c>
      <c r="B117" s="8" t="s">
        <v>3302</v>
      </c>
      <c r="C117" s="9" t="s">
        <v>346</v>
      </c>
      <c r="D117" s="9"/>
      <c r="E117" s="10">
        <v>5.2685000000000004</v>
      </c>
      <c r="F117" s="10">
        <v>-2.6941999999999999</v>
      </c>
      <c r="G117" s="10">
        <v>124</v>
      </c>
      <c r="H117" s="10" t="s">
        <v>397</v>
      </c>
      <c r="I117" s="10">
        <v>26</v>
      </c>
      <c r="J117" s="15">
        <v>1900</v>
      </c>
    </row>
    <row r="118" spans="1:10" ht="30.75" thickBot="1" x14ac:dyDescent="0.3">
      <c r="A118" s="11" t="s">
        <v>3303</v>
      </c>
      <c r="B118" s="12" t="s">
        <v>3304</v>
      </c>
      <c r="C118" s="13" t="s">
        <v>346</v>
      </c>
      <c r="D118" s="13"/>
      <c r="E118" s="14">
        <v>64.130799999999994</v>
      </c>
      <c r="F118" s="14">
        <v>-51.386099999999999</v>
      </c>
      <c r="G118" s="14">
        <v>50</v>
      </c>
      <c r="H118" s="14" t="s">
        <v>376</v>
      </c>
      <c r="I118" s="14">
        <v>-1.4</v>
      </c>
      <c r="J118" s="16">
        <v>750</v>
      </c>
    </row>
    <row r="119" spans="1:10" ht="30.75" thickBot="1" x14ac:dyDescent="0.3">
      <c r="A119" s="7" t="s">
        <v>3305</v>
      </c>
      <c r="B119" s="8" t="s">
        <v>3306</v>
      </c>
      <c r="C119" s="9" t="s">
        <v>346</v>
      </c>
      <c r="D119" s="9"/>
      <c r="E119" s="10">
        <v>74.481399999999994</v>
      </c>
      <c r="F119" s="10">
        <v>-20.554500000000001</v>
      </c>
      <c r="G119" s="10">
        <v>38</v>
      </c>
      <c r="H119" s="10" t="s">
        <v>376</v>
      </c>
      <c r="I119" s="10">
        <v>-9</v>
      </c>
      <c r="J119" s="15">
        <v>211</v>
      </c>
    </row>
    <row r="120" spans="1:10" ht="45.75" thickBot="1" x14ac:dyDescent="0.3">
      <c r="A120" s="11" t="s">
        <v>3307</v>
      </c>
      <c r="B120" s="12" t="s">
        <v>3308</v>
      </c>
      <c r="C120" s="13" t="s">
        <v>346</v>
      </c>
      <c r="D120" s="13"/>
      <c r="E120" s="14">
        <v>74.473299999999995</v>
      </c>
      <c r="F120" s="14">
        <v>-20.5503</v>
      </c>
      <c r="G120" s="14">
        <v>38</v>
      </c>
      <c r="H120" s="14" t="s">
        <v>367</v>
      </c>
      <c r="I120" s="14">
        <v>-9</v>
      </c>
      <c r="J120" s="16">
        <v>211</v>
      </c>
    </row>
    <row r="121" spans="1:10" ht="45.75" thickBot="1" x14ac:dyDescent="0.3">
      <c r="A121" s="7" t="s">
        <v>3309</v>
      </c>
      <c r="B121" s="8" t="s">
        <v>3310</v>
      </c>
      <c r="C121" s="9"/>
      <c r="D121" s="9" t="s">
        <v>346</v>
      </c>
      <c r="E121" s="10">
        <v>22.498200000000001</v>
      </c>
      <c r="F121" s="10">
        <v>114.0292</v>
      </c>
      <c r="G121" s="10">
        <v>-1</v>
      </c>
      <c r="H121" s="10" t="s">
        <v>397</v>
      </c>
      <c r="I121" s="10">
        <v>23.3</v>
      </c>
      <c r="J121" s="15">
        <v>1400</v>
      </c>
    </row>
    <row r="122" spans="1:10" ht="60.75" thickBot="1" x14ac:dyDescent="0.3">
      <c r="A122" s="11" t="s">
        <v>3311</v>
      </c>
      <c r="B122" s="12" t="s">
        <v>3312</v>
      </c>
      <c r="C122" s="13"/>
      <c r="D122" s="13" t="s">
        <v>346</v>
      </c>
      <c r="E122" s="14">
        <v>-2.3199999999999998</v>
      </c>
      <c r="F122" s="14">
        <v>113.9</v>
      </c>
      <c r="G122" s="14">
        <v>30</v>
      </c>
      <c r="H122" s="14" t="s">
        <v>397</v>
      </c>
      <c r="I122" s="14">
        <v>26.2</v>
      </c>
      <c r="J122" s="16">
        <v>2546</v>
      </c>
    </row>
    <row r="123" spans="1:10" ht="30.75" thickBot="1" x14ac:dyDescent="0.3">
      <c r="A123" s="7" t="s">
        <v>188</v>
      </c>
      <c r="B123" s="8" t="s">
        <v>3313</v>
      </c>
      <c r="C123" s="9" t="s">
        <v>346</v>
      </c>
      <c r="D123" s="9" t="s">
        <v>346</v>
      </c>
      <c r="E123" s="10">
        <v>40.523699999999998</v>
      </c>
      <c r="F123" s="10">
        <v>14.9574</v>
      </c>
      <c r="G123" s="10">
        <v>20</v>
      </c>
      <c r="H123" s="10" t="s">
        <v>349</v>
      </c>
      <c r="I123" s="10">
        <v>18</v>
      </c>
      <c r="J123" s="15">
        <v>600</v>
      </c>
    </row>
    <row r="124" spans="1:10" ht="30.75" thickBot="1" x14ac:dyDescent="0.3">
      <c r="A124" s="11" t="s">
        <v>3314</v>
      </c>
      <c r="B124" s="12" t="s">
        <v>3315</v>
      </c>
      <c r="C124" s="13" t="s">
        <v>346</v>
      </c>
      <c r="D124" s="13"/>
      <c r="E124" s="14">
        <v>42.380400000000002</v>
      </c>
      <c r="F124" s="14">
        <v>12.0266</v>
      </c>
      <c r="G124" s="14">
        <v>200</v>
      </c>
      <c r="H124" s="14" t="s">
        <v>428</v>
      </c>
      <c r="I124" s="14">
        <v>14</v>
      </c>
      <c r="J124" s="16">
        <v>766</v>
      </c>
    </row>
    <row r="125" spans="1:10" ht="30.75" thickBot="1" x14ac:dyDescent="0.3">
      <c r="A125" s="7" t="s">
        <v>3316</v>
      </c>
      <c r="B125" s="8" t="s">
        <v>3317</v>
      </c>
      <c r="C125" s="9" t="s">
        <v>346</v>
      </c>
      <c r="D125" s="9"/>
      <c r="E125" s="10">
        <v>42.377200000000002</v>
      </c>
      <c r="F125" s="10">
        <v>12.026</v>
      </c>
      <c r="G125" s="10">
        <v>200</v>
      </c>
      <c r="H125" s="10" t="s">
        <v>349</v>
      </c>
      <c r="I125" s="10">
        <v>14</v>
      </c>
      <c r="J125" s="15">
        <v>766</v>
      </c>
    </row>
    <row r="126" spans="1:10" ht="30.75" thickBot="1" x14ac:dyDescent="0.3">
      <c r="A126" s="11" t="s">
        <v>3318</v>
      </c>
      <c r="B126" s="12" t="s">
        <v>3319</v>
      </c>
      <c r="C126" s="13" t="s">
        <v>346</v>
      </c>
      <c r="D126" s="13"/>
      <c r="E126" s="14">
        <v>42.38</v>
      </c>
      <c r="F126" s="14">
        <v>12.0222</v>
      </c>
      <c r="G126" s="14">
        <v>197</v>
      </c>
      <c r="H126" s="14" t="s">
        <v>428</v>
      </c>
      <c r="I126" s="14">
        <v>14</v>
      </c>
      <c r="J126" s="16">
        <v>766</v>
      </c>
    </row>
    <row r="127" spans="1:10" ht="30.75" thickBot="1" x14ac:dyDescent="0.3">
      <c r="A127" s="7" t="s">
        <v>3320</v>
      </c>
      <c r="B127" s="8" t="s">
        <v>3321</v>
      </c>
      <c r="C127" s="9"/>
      <c r="D127" s="9" t="s">
        <v>346</v>
      </c>
      <c r="E127" s="10">
        <v>45.07</v>
      </c>
      <c r="F127" s="10">
        <v>8.7174999999999994</v>
      </c>
      <c r="G127" s="10">
        <v>89</v>
      </c>
      <c r="H127" s="10" t="s">
        <v>349</v>
      </c>
      <c r="I127" s="10">
        <v>11.9</v>
      </c>
      <c r="J127" s="15"/>
    </row>
    <row r="128" spans="1:10" ht="30.75" thickBot="1" x14ac:dyDescent="0.3">
      <c r="A128" s="11" t="s">
        <v>3322</v>
      </c>
      <c r="B128" s="12" t="s">
        <v>3323</v>
      </c>
      <c r="C128" s="13" t="s">
        <v>346</v>
      </c>
      <c r="D128" s="13"/>
      <c r="E128" s="14">
        <v>41.849400000000003</v>
      </c>
      <c r="F128" s="14">
        <v>13.588100000000001</v>
      </c>
      <c r="G128" s="14">
        <v>1560</v>
      </c>
      <c r="H128" s="14" t="s">
        <v>428</v>
      </c>
      <c r="I128" s="14">
        <v>6.3</v>
      </c>
      <c r="J128" s="16">
        <v>1180</v>
      </c>
    </row>
    <row r="129" spans="1:10" ht="30.75" thickBot="1" x14ac:dyDescent="0.3">
      <c r="A129" s="7" t="s">
        <v>189</v>
      </c>
      <c r="B129" s="8" t="s">
        <v>3324</v>
      </c>
      <c r="C129" s="9" t="s">
        <v>346</v>
      </c>
      <c r="D129" s="9"/>
      <c r="E129" s="10">
        <v>41.704300000000003</v>
      </c>
      <c r="F129" s="10">
        <v>12.3573</v>
      </c>
      <c r="G129" s="10">
        <v>19</v>
      </c>
      <c r="H129" s="10" t="s">
        <v>397</v>
      </c>
      <c r="I129" s="10">
        <v>15.2</v>
      </c>
      <c r="J129" s="15">
        <v>805</v>
      </c>
    </row>
    <row r="130" spans="1:10" ht="30.75" thickBot="1" x14ac:dyDescent="0.3">
      <c r="A130" s="11" t="s">
        <v>3325</v>
      </c>
      <c r="B130" s="12" t="s">
        <v>3326</v>
      </c>
      <c r="C130" s="13" t="s">
        <v>346</v>
      </c>
      <c r="D130" s="13"/>
      <c r="E130" s="14">
        <v>41.705199999999998</v>
      </c>
      <c r="F130" s="14">
        <v>12.376099999999999</v>
      </c>
      <c r="G130" s="14">
        <v>68</v>
      </c>
      <c r="H130" s="14" t="s">
        <v>397</v>
      </c>
      <c r="I130" s="14">
        <v>15.6</v>
      </c>
      <c r="J130" s="16">
        <v>780</v>
      </c>
    </row>
    <row r="131" spans="1:10" ht="30.75" thickBot="1" x14ac:dyDescent="0.3">
      <c r="A131" s="7" t="s">
        <v>3327</v>
      </c>
      <c r="B131" s="8" t="s">
        <v>3328</v>
      </c>
      <c r="C131" s="9" t="s">
        <v>346</v>
      </c>
      <c r="D131" s="9"/>
      <c r="E131" s="10">
        <v>45.812600000000003</v>
      </c>
      <c r="F131" s="10">
        <v>8.6335999999999995</v>
      </c>
      <c r="G131" s="10">
        <v>210</v>
      </c>
      <c r="H131" s="10" t="s">
        <v>428</v>
      </c>
      <c r="I131" s="10">
        <v>12.2</v>
      </c>
      <c r="J131" s="15">
        <v>1300</v>
      </c>
    </row>
    <row r="132" spans="1:10" ht="30.75" thickBot="1" x14ac:dyDescent="0.3">
      <c r="A132" s="11" t="s">
        <v>3329</v>
      </c>
      <c r="B132" s="12" t="s">
        <v>3330</v>
      </c>
      <c r="C132" s="13" t="s">
        <v>346</v>
      </c>
      <c r="D132" s="13"/>
      <c r="E132" s="14">
        <v>45.9542</v>
      </c>
      <c r="F132" s="14">
        <v>11.285299999999999</v>
      </c>
      <c r="G132" s="14">
        <v>1350</v>
      </c>
      <c r="H132" s="14" t="s">
        <v>513</v>
      </c>
      <c r="I132" s="14">
        <v>7.2</v>
      </c>
      <c r="J132" s="16">
        <v>1150</v>
      </c>
    </row>
    <row r="133" spans="1:10" ht="15.75" thickBot="1" x14ac:dyDescent="0.3">
      <c r="A133" s="7" t="s">
        <v>224</v>
      </c>
      <c r="B133" s="8" t="s">
        <v>3331</v>
      </c>
      <c r="C133" s="9" t="s">
        <v>346</v>
      </c>
      <c r="D133" s="9"/>
      <c r="E133" s="10">
        <v>45.956200000000003</v>
      </c>
      <c r="F133" s="10">
        <v>11.2813</v>
      </c>
      <c r="G133" s="10">
        <v>1353</v>
      </c>
      <c r="H133" s="10" t="s">
        <v>513</v>
      </c>
      <c r="I133" s="10">
        <v>7.8</v>
      </c>
      <c r="J133" s="15">
        <v>1291</v>
      </c>
    </row>
    <row r="134" spans="1:10" ht="30.75" thickBot="1" x14ac:dyDescent="0.3">
      <c r="A134" s="11" t="s">
        <v>225</v>
      </c>
      <c r="B134" s="12" t="s">
        <v>3332</v>
      </c>
      <c r="C134" s="13" t="s">
        <v>346</v>
      </c>
      <c r="D134" s="13"/>
      <c r="E134" s="14">
        <v>46.014699999999998</v>
      </c>
      <c r="F134" s="14">
        <v>11.0458</v>
      </c>
      <c r="G134" s="14">
        <v>1550</v>
      </c>
      <c r="H134" s="14" t="s">
        <v>367</v>
      </c>
      <c r="I134" s="14">
        <v>5.0999999999999996</v>
      </c>
      <c r="J134" s="16">
        <v>1214</v>
      </c>
    </row>
    <row r="135" spans="1:10" ht="60.75" thickBot="1" x14ac:dyDescent="0.3">
      <c r="A135" s="7" t="s">
        <v>3333</v>
      </c>
      <c r="B135" s="8" t="s">
        <v>3334</v>
      </c>
      <c r="C135" s="9" t="s">
        <v>346</v>
      </c>
      <c r="D135" s="9"/>
      <c r="E135" s="10">
        <v>40.606200000000001</v>
      </c>
      <c r="F135" s="10">
        <v>8.1516999999999999</v>
      </c>
      <c r="G135" s="10">
        <v>25</v>
      </c>
      <c r="H135" s="10" t="s">
        <v>925</v>
      </c>
      <c r="I135" s="10">
        <v>15.9</v>
      </c>
      <c r="J135" s="15">
        <v>588</v>
      </c>
    </row>
    <row r="136" spans="1:10" ht="45.75" thickBot="1" x14ac:dyDescent="0.3">
      <c r="A136" s="11" t="s">
        <v>3335</v>
      </c>
      <c r="B136" s="12" t="s">
        <v>3336</v>
      </c>
      <c r="C136" s="13" t="s">
        <v>346</v>
      </c>
      <c r="D136" s="13"/>
      <c r="E136" s="14">
        <v>45.200899999999997</v>
      </c>
      <c r="F136" s="14">
        <v>9.0609999999999999</v>
      </c>
      <c r="G136" s="14">
        <v>60</v>
      </c>
      <c r="H136" s="14" t="s">
        <v>428</v>
      </c>
      <c r="I136" s="14">
        <v>12.7</v>
      </c>
      <c r="J136" s="16">
        <v>984</v>
      </c>
    </row>
    <row r="137" spans="1:10" ht="15.75" thickBot="1" x14ac:dyDescent="0.3">
      <c r="A137" s="7" t="s">
        <v>226</v>
      </c>
      <c r="B137" s="8" t="s">
        <v>3337</v>
      </c>
      <c r="C137" s="9" t="s">
        <v>346</v>
      </c>
      <c r="D137" s="9"/>
      <c r="E137" s="10">
        <v>46.5869</v>
      </c>
      <c r="F137" s="10">
        <v>11.4337</v>
      </c>
      <c r="G137" s="10">
        <v>1730</v>
      </c>
      <c r="H137" s="10" t="s">
        <v>513</v>
      </c>
      <c r="I137" s="10">
        <v>4.7</v>
      </c>
      <c r="J137" s="15">
        <v>809.3</v>
      </c>
    </row>
    <row r="138" spans="1:10" ht="45.75" thickBot="1" x14ac:dyDescent="0.3">
      <c r="A138" s="11" t="s">
        <v>3338</v>
      </c>
      <c r="B138" s="12" t="s">
        <v>3339</v>
      </c>
      <c r="C138" s="13" t="s">
        <v>346</v>
      </c>
      <c r="D138" s="13"/>
      <c r="E138" s="14">
        <v>42.408099999999997</v>
      </c>
      <c r="F138" s="14">
        <v>11.93</v>
      </c>
      <c r="G138" s="14">
        <v>235</v>
      </c>
      <c r="H138" s="14" t="s">
        <v>428</v>
      </c>
      <c r="I138" s="14">
        <v>15.15</v>
      </c>
      <c r="J138" s="16">
        <v>876.2</v>
      </c>
    </row>
    <row r="139" spans="1:10" ht="45.75" thickBot="1" x14ac:dyDescent="0.3">
      <c r="A139" s="7" t="s">
        <v>3340</v>
      </c>
      <c r="B139" s="8" t="s">
        <v>3341</v>
      </c>
      <c r="C139" s="9" t="s">
        <v>346</v>
      </c>
      <c r="D139" s="9"/>
      <c r="E139" s="10">
        <v>42.390300000000003</v>
      </c>
      <c r="F139" s="10">
        <v>11.9209</v>
      </c>
      <c r="G139" s="10">
        <v>160</v>
      </c>
      <c r="H139" s="10" t="s">
        <v>428</v>
      </c>
      <c r="I139" s="10">
        <v>15.15</v>
      </c>
      <c r="J139" s="15">
        <v>876.2</v>
      </c>
    </row>
    <row r="140" spans="1:10" ht="45.75" thickBot="1" x14ac:dyDescent="0.3">
      <c r="A140" s="11" t="s">
        <v>191</v>
      </c>
      <c r="B140" s="12" t="s">
        <v>3342</v>
      </c>
      <c r="C140" s="13" t="s">
        <v>346</v>
      </c>
      <c r="D140" s="13"/>
      <c r="E140" s="14">
        <v>43.731999999999999</v>
      </c>
      <c r="F140" s="14">
        <v>10.290900000000001</v>
      </c>
      <c r="G140" s="14">
        <v>4</v>
      </c>
      <c r="H140" s="14" t="s">
        <v>513</v>
      </c>
      <c r="I140" s="14">
        <v>14.2</v>
      </c>
      <c r="J140" s="16">
        <v>920</v>
      </c>
    </row>
    <row r="141" spans="1:10" ht="30.75" thickBot="1" x14ac:dyDescent="0.3">
      <c r="A141" s="7" t="s">
        <v>3343</v>
      </c>
      <c r="B141" s="8" t="s">
        <v>3344</v>
      </c>
      <c r="C141" s="9" t="s">
        <v>346</v>
      </c>
      <c r="D141" s="9"/>
      <c r="E141" s="10">
        <v>43.727899999999998</v>
      </c>
      <c r="F141" s="10">
        <v>10.2844</v>
      </c>
      <c r="G141" s="10">
        <v>6</v>
      </c>
      <c r="H141" s="10" t="s">
        <v>513</v>
      </c>
      <c r="I141" s="10">
        <v>14.2</v>
      </c>
      <c r="J141" s="15">
        <v>920</v>
      </c>
    </row>
    <row r="142" spans="1:10" ht="15.75" thickBot="1" x14ac:dyDescent="0.3">
      <c r="A142" s="11" t="s">
        <v>192</v>
      </c>
      <c r="B142" s="12" t="s">
        <v>3345</v>
      </c>
      <c r="C142" s="13" t="s">
        <v>346</v>
      </c>
      <c r="D142" s="13"/>
      <c r="E142" s="14">
        <v>45.8444</v>
      </c>
      <c r="F142" s="14">
        <v>7.5781000000000001</v>
      </c>
      <c r="G142" s="14">
        <v>2160</v>
      </c>
      <c r="H142" s="14" t="s">
        <v>367</v>
      </c>
      <c r="I142" s="14">
        <v>2.9</v>
      </c>
      <c r="J142" s="16">
        <v>920</v>
      </c>
    </row>
    <row r="143" spans="1:10" ht="15.75" thickBot="1" x14ac:dyDescent="0.3">
      <c r="A143" s="7" t="s">
        <v>3346</v>
      </c>
      <c r="B143" s="8" t="s">
        <v>3347</v>
      </c>
      <c r="C143" s="9"/>
      <c r="D143" s="9" t="s">
        <v>346</v>
      </c>
      <c r="E143" s="10">
        <v>43.323</v>
      </c>
      <c r="F143" s="10">
        <v>141.8107</v>
      </c>
      <c r="G143" s="10"/>
      <c r="H143" s="10" t="s">
        <v>376</v>
      </c>
      <c r="I143" s="10"/>
      <c r="J143" s="15"/>
    </row>
    <row r="144" spans="1:10" ht="60.75" thickBot="1" x14ac:dyDescent="0.3">
      <c r="A144" s="11" t="s">
        <v>3348</v>
      </c>
      <c r="B144" s="12" t="s">
        <v>3349</v>
      </c>
      <c r="C144" s="13" t="s">
        <v>346</v>
      </c>
      <c r="D144" s="13"/>
      <c r="E144" s="14">
        <v>44.386899999999997</v>
      </c>
      <c r="F144" s="14">
        <v>142.3186</v>
      </c>
      <c r="G144" s="14"/>
      <c r="H144" s="14" t="s">
        <v>428</v>
      </c>
      <c r="I144" s="14"/>
      <c r="J144" s="16"/>
    </row>
    <row r="145" spans="1:10" ht="60.75" thickBot="1" x14ac:dyDescent="0.3">
      <c r="A145" s="7" t="s">
        <v>3350</v>
      </c>
      <c r="B145" s="8" t="s">
        <v>3351</v>
      </c>
      <c r="C145" s="9"/>
      <c r="D145" s="9" t="s">
        <v>346</v>
      </c>
      <c r="E145" s="10">
        <v>36.053899999999999</v>
      </c>
      <c r="F145" s="10">
        <v>140.02690000000001</v>
      </c>
      <c r="G145" s="10"/>
      <c r="H145" s="10" t="s">
        <v>349</v>
      </c>
      <c r="I145" s="10"/>
      <c r="J145" s="15"/>
    </row>
    <row r="146" spans="1:10" ht="60.75" thickBot="1" x14ac:dyDescent="0.3">
      <c r="A146" s="11" t="s">
        <v>3352</v>
      </c>
      <c r="B146" s="12" t="s">
        <v>3353</v>
      </c>
      <c r="C146" s="13" t="s">
        <v>346</v>
      </c>
      <c r="D146" s="13"/>
      <c r="E146" s="14">
        <v>35.261699999999998</v>
      </c>
      <c r="F146" s="14">
        <v>137.0788</v>
      </c>
      <c r="G146" s="14"/>
      <c r="H146" s="14" t="s">
        <v>479</v>
      </c>
      <c r="I146" s="14"/>
      <c r="J146" s="16"/>
    </row>
    <row r="147" spans="1:10" ht="30.75" thickBot="1" x14ac:dyDescent="0.3">
      <c r="A147" s="7" t="s">
        <v>3354</v>
      </c>
      <c r="B147" s="8" t="s">
        <v>3355</v>
      </c>
      <c r="C147" s="9"/>
      <c r="D147" s="9" t="s">
        <v>346</v>
      </c>
      <c r="E147" s="10">
        <v>36.046599999999998</v>
      </c>
      <c r="F147" s="10">
        <v>138.10839999999999</v>
      </c>
      <c r="G147" s="10"/>
      <c r="H147" s="10" t="s">
        <v>918</v>
      </c>
      <c r="I147" s="10"/>
      <c r="J147" s="15"/>
    </row>
    <row r="148" spans="1:10" ht="45.75" thickBot="1" x14ac:dyDescent="0.3">
      <c r="A148" s="11" t="s">
        <v>3356</v>
      </c>
      <c r="B148" s="12" t="s">
        <v>3357</v>
      </c>
      <c r="C148" s="13"/>
      <c r="D148" s="13" t="s">
        <v>346</v>
      </c>
      <c r="E148" s="14">
        <v>38.201300000000003</v>
      </c>
      <c r="F148" s="14">
        <v>127.25060000000001</v>
      </c>
      <c r="G148" s="14">
        <v>182</v>
      </c>
      <c r="H148" s="14" t="s">
        <v>349</v>
      </c>
      <c r="I148" s="14">
        <v>11.2</v>
      </c>
      <c r="J148" s="16">
        <v>1180.9000000000001</v>
      </c>
    </row>
    <row r="149" spans="1:10" ht="60.75" thickBot="1" x14ac:dyDescent="0.3">
      <c r="A149" s="7" t="s">
        <v>3358</v>
      </c>
      <c r="B149" s="8" t="s">
        <v>3359</v>
      </c>
      <c r="C149" s="9"/>
      <c r="D149" s="9" t="s">
        <v>346</v>
      </c>
      <c r="E149" s="10">
        <v>1.4536</v>
      </c>
      <c r="F149" s="10">
        <v>111.1495</v>
      </c>
      <c r="G149" s="10"/>
      <c r="H149" s="10" t="s">
        <v>397</v>
      </c>
      <c r="I149" s="10"/>
      <c r="J149" s="15"/>
    </row>
    <row r="150" spans="1:10" ht="60.75" thickBot="1" x14ac:dyDescent="0.3">
      <c r="A150" s="11" t="s">
        <v>3360</v>
      </c>
      <c r="B150" s="12" t="s">
        <v>3361</v>
      </c>
      <c r="C150" s="13" t="s">
        <v>346</v>
      </c>
      <c r="D150" s="13"/>
      <c r="E150" s="14">
        <v>2.9729999999999999</v>
      </c>
      <c r="F150" s="14">
        <v>102.3062</v>
      </c>
      <c r="G150" s="14"/>
      <c r="H150" s="14" t="s">
        <v>397</v>
      </c>
      <c r="I150" s="14"/>
      <c r="J150" s="16"/>
    </row>
    <row r="151" spans="1:10" ht="30.75" thickBot="1" x14ac:dyDescent="0.3">
      <c r="A151" s="7" t="s">
        <v>3362</v>
      </c>
      <c r="B151" s="8" t="s">
        <v>3363</v>
      </c>
      <c r="C151" s="9" t="s">
        <v>346</v>
      </c>
      <c r="D151" s="9" t="s">
        <v>346</v>
      </c>
      <c r="E151" s="10">
        <v>52.240299999999998</v>
      </c>
      <c r="F151" s="10">
        <v>5.0712999999999999</v>
      </c>
      <c r="G151" s="10">
        <v>2.2000000000000002</v>
      </c>
      <c r="H151" s="10" t="s">
        <v>367</v>
      </c>
      <c r="I151" s="10">
        <v>10</v>
      </c>
      <c r="J151" s="15">
        <v>800</v>
      </c>
    </row>
    <row r="152" spans="1:10" ht="15.75" thickBot="1" x14ac:dyDescent="0.3">
      <c r="A152" s="11" t="s">
        <v>193</v>
      </c>
      <c r="B152" s="12" t="s">
        <v>3364</v>
      </c>
      <c r="C152" s="13" t="s">
        <v>346</v>
      </c>
      <c r="D152" s="13"/>
      <c r="E152" s="14">
        <v>52.166600000000003</v>
      </c>
      <c r="F152" s="14">
        <v>5.7435999999999998</v>
      </c>
      <c r="G152" s="14">
        <v>25</v>
      </c>
      <c r="H152" s="14" t="s">
        <v>513</v>
      </c>
      <c r="I152" s="14">
        <v>9.8000000000000007</v>
      </c>
      <c r="J152" s="16">
        <v>786</v>
      </c>
    </row>
    <row r="153" spans="1:10" ht="15.75" thickBot="1" x14ac:dyDescent="0.3">
      <c r="A153" s="7" t="s">
        <v>3365</v>
      </c>
      <c r="B153" s="8" t="s">
        <v>3366</v>
      </c>
      <c r="C153" s="9"/>
      <c r="D153" s="9" t="s">
        <v>346</v>
      </c>
      <c r="E153" s="10">
        <v>-37.387900000000002</v>
      </c>
      <c r="F153" s="10">
        <v>175.5539</v>
      </c>
      <c r="G153" s="10"/>
      <c r="H153" s="10" t="s">
        <v>397</v>
      </c>
      <c r="I153" s="10"/>
      <c r="J153" s="15"/>
    </row>
    <row r="154" spans="1:10" ht="60.75" thickBot="1" x14ac:dyDescent="0.3">
      <c r="A154" s="11" t="s">
        <v>3367</v>
      </c>
      <c r="B154" s="12" t="s">
        <v>3368</v>
      </c>
      <c r="C154" s="13" t="s">
        <v>346</v>
      </c>
      <c r="D154" s="13"/>
      <c r="E154" s="14">
        <v>9.3180999999999994</v>
      </c>
      <c r="F154" s="14">
        <v>-79.634600000000006</v>
      </c>
      <c r="G154" s="14">
        <v>78</v>
      </c>
      <c r="H154" s="14" t="s">
        <v>428</v>
      </c>
      <c r="I154" s="14">
        <v>26.5</v>
      </c>
      <c r="J154" s="16">
        <v>2350</v>
      </c>
    </row>
    <row r="155" spans="1:10" ht="45.75" thickBot="1" x14ac:dyDescent="0.3">
      <c r="A155" s="7" t="s">
        <v>3369</v>
      </c>
      <c r="B155" s="8" t="s">
        <v>3370</v>
      </c>
      <c r="C155" s="9" t="s">
        <v>346</v>
      </c>
      <c r="D155" s="9"/>
      <c r="E155" s="10">
        <v>9.3138000000000005</v>
      </c>
      <c r="F155" s="10">
        <v>-79.631399999999999</v>
      </c>
      <c r="G155" s="10">
        <v>68</v>
      </c>
      <c r="H155" s="10" t="s">
        <v>367</v>
      </c>
      <c r="I155" s="10">
        <v>26.5</v>
      </c>
      <c r="J155" s="15">
        <v>2350</v>
      </c>
    </row>
    <row r="156" spans="1:10" ht="60.75" thickBot="1" x14ac:dyDescent="0.3">
      <c r="A156" s="11" t="s">
        <v>3371</v>
      </c>
      <c r="B156" s="12" t="s">
        <v>3372</v>
      </c>
      <c r="C156" s="13"/>
      <c r="D156" s="13" t="s">
        <v>346</v>
      </c>
      <c r="E156" s="14">
        <v>14.1412</v>
      </c>
      <c r="F156" s="14">
        <v>121.2653</v>
      </c>
      <c r="G156" s="14">
        <v>27</v>
      </c>
      <c r="H156" s="14" t="s">
        <v>349</v>
      </c>
      <c r="I156" s="14">
        <v>27.5</v>
      </c>
      <c r="J156" s="16">
        <v>2112</v>
      </c>
    </row>
    <row r="157" spans="1:10" ht="45.75" thickBot="1" x14ac:dyDescent="0.3">
      <c r="A157" s="7" t="s">
        <v>3373</v>
      </c>
      <c r="B157" s="8" t="s">
        <v>3374</v>
      </c>
      <c r="C157" s="9"/>
      <c r="D157" s="9" t="s">
        <v>346</v>
      </c>
      <c r="E157" s="10">
        <v>68.616900000000001</v>
      </c>
      <c r="F157" s="10">
        <v>161.3509</v>
      </c>
      <c r="G157" s="10">
        <v>4</v>
      </c>
      <c r="H157" s="10" t="s">
        <v>376</v>
      </c>
      <c r="I157" s="10">
        <v>-12.5</v>
      </c>
      <c r="J157" s="15">
        <v>200</v>
      </c>
    </row>
    <row r="158" spans="1:10" ht="15.75" thickBot="1" x14ac:dyDescent="0.3">
      <c r="A158" s="11" t="s">
        <v>3375</v>
      </c>
      <c r="B158" s="12" t="s">
        <v>3376</v>
      </c>
      <c r="C158" s="13" t="s">
        <v>346</v>
      </c>
      <c r="D158" s="13" t="s">
        <v>346</v>
      </c>
      <c r="E158" s="14">
        <v>68.613</v>
      </c>
      <c r="F158" s="14">
        <v>161.34139999999999</v>
      </c>
      <c r="G158" s="14">
        <v>6</v>
      </c>
      <c r="H158" s="14" t="s">
        <v>376</v>
      </c>
      <c r="I158" s="14">
        <v>-11</v>
      </c>
      <c r="J158" s="16">
        <v>197</v>
      </c>
    </row>
    <row r="159" spans="1:10" ht="30.75" thickBot="1" x14ac:dyDescent="0.3">
      <c r="A159" s="7" t="s">
        <v>3377</v>
      </c>
      <c r="B159" s="8" t="s">
        <v>3378</v>
      </c>
      <c r="C159" s="9" t="s">
        <v>346</v>
      </c>
      <c r="D159" s="9" t="s">
        <v>346</v>
      </c>
      <c r="E159" s="10">
        <v>70.829099999999997</v>
      </c>
      <c r="F159" s="10">
        <v>147.49430000000001</v>
      </c>
      <c r="G159" s="10">
        <v>48</v>
      </c>
      <c r="H159" s="10" t="s">
        <v>581</v>
      </c>
      <c r="I159" s="10">
        <v>-14.3</v>
      </c>
      <c r="J159" s="15">
        <v>232</v>
      </c>
    </row>
    <row r="160" spans="1:10" ht="60.75" thickBot="1" x14ac:dyDescent="0.3">
      <c r="A160" s="11" t="s">
        <v>194</v>
      </c>
      <c r="B160" s="12" t="s">
        <v>3379</v>
      </c>
      <c r="C160" s="13"/>
      <c r="D160" s="13" t="s">
        <v>346</v>
      </c>
      <c r="E160" s="14">
        <v>56.447600000000001</v>
      </c>
      <c r="F160" s="14">
        <v>32.901899999999998</v>
      </c>
      <c r="G160" s="14"/>
      <c r="H160" s="14" t="s">
        <v>513</v>
      </c>
      <c r="I160" s="14">
        <v>4.3899999999999997</v>
      </c>
      <c r="J160" s="16">
        <v>668.53</v>
      </c>
    </row>
    <row r="161" spans="1:10" ht="30.75" thickBot="1" x14ac:dyDescent="0.3">
      <c r="A161" s="7" t="s">
        <v>195</v>
      </c>
      <c r="B161" s="8" t="s">
        <v>3380</v>
      </c>
      <c r="C161" s="9" t="s">
        <v>346</v>
      </c>
      <c r="D161" s="9"/>
      <c r="E161" s="10">
        <v>56.461500000000001</v>
      </c>
      <c r="F161" s="10">
        <v>32.9221</v>
      </c>
      <c r="G161" s="10">
        <v>265</v>
      </c>
      <c r="H161" s="10" t="s">
        <v>513</v>
      </c>
      <c r="I161" s="10">
        <v>3.9</v>
      </c>
      <c r="J161" s="15">
        <v>711</v>
      </c>
    </row>
    <row r="162" spans="1:10" ht="30.75" thickBot="1" x14ac:dyDescent="0.3">
      <c r="A162" s="11" t="s">
        <v>3381</v>
      </c>
      <c r="B162" s="12" t="s">
        <v>3382</v>
      </c>
      <c r="C162" s="13" t="s">
        <v>346</v>
      </c>
      <c r="D162" s="13"/>
      <c r="E162" s="14">
        <v>54.725200000000001</v>
      </c>
      <c r="F162" s="14">
        <v>90.002200000000002</v>
      </c>
      <c r="G162" s="14">
        <v>446</v>
      </c>
      <c r="H162" s="14" t="s">
        <v>367</v>
      </c>
      <c r="I162" s="14">
        <v>-7.0000000000000007E-2</v>
      </c>
      <c r="J162" s="16">
        <v>591.87</v>
      </c>
    </row>
    <row r="163" spans="1:10" ht="30.75" thickBot="1" x14ac:dyDescent="0.3">
      <c r="A163" s="7" t="s">
        <v>3383</v>
      </c>
      <c r="B163" s="8" t="s">
        <v>3384</v>
      </c>
      <c r="C163" s="9" t="s">
        <v>3385</v>
      </c>
      <c r="D163" s="9"/>
      <c r="E163" s="10">
        <v>72.373800000000003</v>
      </c>
      <c r="F163" s="10">
        <v>126.4958</v>
      </c>
      <c r="G163" s="10"/>
      <c r="H163" s="10" t="s">
        <v>367</v>
      </c>
      <c r="I163" s="10"/>
      <c r="J163" s="15"/>
    </row>
    <row r="164" spans="1:10" ht="60.75" thickBot="1" x14ac:dyDescent="0.3">
      <c r="A164" s="11" t="s">
        <v>3386</v>
      </c>
      <c r="B164" s="12" t="s">
        <v>3387</v>
      </c>
      <c r="C164" s="13" t="s">
        <v>3385</v>
      </c>
      <c r="D164" s="13"/>
      <c r="E164" s="14">
        <v>62.255000000000003</v>
      </c>
      <c r="F164" s="14">
        <v>129.16800000000001</v>
      </c>
      <c r="G164" s="14">
        <v>246</v>
      </c>
      <c r="H164" s="14" t="s">
        <v>413</v>
      </c>
      <c r="I164" s="14"/>
      <c r="J164" s="16"/>
    </row>
    <row r="165" spans="1:10" ht="15.75" thickBot="1" x14ac:dyDescent="0.3">
      <c r="A165" s="7" t="s">
        <v>3388</v>
      </c>
      <c r="B165" s="8" t="s">
        <v>3389</v>
      </c>
      <c r="C165" s="9" t="s">
        <v>3385</v>
      </c>
      <c r="D165" s="9"/>
      <c r="E165" s="10">
        <v>71.594300000000004</v>
      </c>
      <c r="F165" s="10">
        <v>128.8878</v>
      </c>
      <c r="G165" s="10">
        <v>7</v>
      </c>
      <c r="H165" s="10" t="s">
        <v>367</v>
      </c>
      <c r="I165" s="10">
        <v>-12.7</v>
      </c>
      <c r="J165" s="15">
        <v>323</v>
      </c>
    </row>
    <row r="166" spans="1:10" ht="30.75" thickBot="1" x14ac:dyDescent="0.3">
      <c r="A166" s="11" t="s">
        <v>3390</v>
      </c>
      <c r="B166" s="12" t="s">
        <v>3391</v>
      </c>
      <c r="C166" s="13" t="s">
        <v>3385</v>
      </c>
      <c r="D166" s="13" t="s">
        <v>3385</v>
      </c>
      <c r="E166" s="14">
        <v>67.054699999999997</v>
      </c>
      <c r="F166" s="14">
        <v>62.9405</v>
      </c>
      <c r="G166" s="14">
        <v>100</v>
      </c>
      <c r="H166" s="14" t="s">
        <v>925</v>
      </c>
      <c r="I166" s="14">
        <v>-5.6</v>
      </c>
      <c r="J166" s="16">
        <v>501</v>
      </c>
    </row>
    <row r="167" spans="1:10" ht="30.75" thickBot="1" x14ac:dyDescent="0.3">
      <c r="A167" s="7" t="s">
        <v>3392</v>
      </c>
      <c r="B167" s="8" t="s">
        <v>3393</v>
      </c>
      <c r="C167" s="9" t="s">
        <v>346</v>
      </c>
      <c r="D167" s="9"/>
      <c r="E167" s="10">
        <v>13.2829</v>
      </c>
      <c r="F167" s="10">
        <v>30.478300000000001</v>
      </c>
      <c r="G167" s="10">
        <v>500</v>
      </c>
      <c r="H167" s="10" t="s">
        <v>1436</v>
      </c>
      <c r="I167" s="10">
        <v>26</v>
      </c>
      <c r="J167" s="15">
        <v>320</v>
      </c>
    </row>
    <row r="168" spans="1:10" ht="15.75" thickBot="1" x14ac:dyDescent="0.3">
      <c r="A168" s="11" t="s">
        <v>196</v>
      </c>
      <c r="B168" s="12" t="s">
        <v>3394</v>
      </c>
      <c r="C168" s="13"/>
      <c r="D168" s="13" t="s">
        <v>346</v>
      </c>
      <c r="E168" s="14">
        <v>64.182000000000002</v>
      </c>
      <c r="F168" s="14">
        <v>19.5565</v>
      </c>
      <c r="G168" s="14">
        <v>270</v>
      </c>
      <c r="H168" s="14" t="s">
        <v>367</v>
      </c>
      <c r="I168" s="14">
        <v>1.2</v>
      </c>
      <c r="J168" s="16">
        <v>523</v>
      </c>
    </row>
    <row r="169" spans="1:10" ht="60.75" thickBot="1" x14ac:dyDescent="0.3">
      <c r="A169" s="7" t="s">
        <v>3395</v>
      </c>
      <c r="B169" s="8" t="s">
        <v>3396</v>
      </c>
      <c r="C169" s="9" t="s">
        <v>3385</v>
      </c>
      <c r="D169" s="9" t="s">
        <v>3385</v>
      </c>
      <c r="E169" s="10">
        <v>68.354100000000003</v>
      </c>
      <c r="F169" s="10">
        <v>19.0503</v>
      </c>
      <c r="G169" s="10">
        <v>351</v>
      </c>
      <c r="H169" s="10" t="s">
        <v>376</v>
      </c>
      <c r="I169" s="10">
        <v>-0.7</v>
      </c>
      <c r="J169" s="15">
        <v>303.3</v>
      </c>
    </row>
    <row r="170" spans="1:10" ht="30.75" thickBot="1" x14ac:dyDescent="0.3">
      <c r="A170" s="11" t="s">
        <v>3397</v>
      </c>
      <c r="B170" s="12" t="s">
        <v>3398</v>
      </c>
      <c r="C170" s="13" t="s">
        <v>346</v>
      </c>
      <c r="D170" s="13"/>
      <c r="E170" s="14">
        <v>78.186000000000007</v>
      </c>
      <c r="F170" s="14">
        <v>15.923</v>
      </c>
      <c r="G170" s="14">
        <v>17</v>
      </c>
      <c r="H170" s="14" t="s">
        <v>376</v>
      </c>
      <c r="I170" s="14"/>
      <c r="J170" s="16"/>
    </row>
    <row r="171" spans="1:10" ht="45.75" thickBot="1" x14ac:dyDescent="0.3">
      <c r="A171" s="7" t="s">
        <v>3399</v>
      </c>
      <c r="B171" s="8" t="s">
        <v>3400</v>
      </c>
      <c r="C171" s="9" t="s">
        <v>346</v>
      </c>
      <c r="D171" s="9"/>
      <c r="E171" s="10">
        <v>78.921599999999998</v>
      </c>
      <c r="F171" s="10">
        <v>11.831099999999999</v>
      </c>
      <c r="G171" s="10">
        <v>25</v>
      </c>
      <c r="H171" s="10" t="s">
        <v>2229</v>
      </c>
      <c r="I171" s="10">
        <v>-4.5</v>
      </c>
      <c r="J171" s="15">
        <v>400</v>
      </c>
    </row>
    <row r="172" spans="1:10" ht="15.75" thickBot="1" x14ac:dyDescent="0.3">
      <c r="A172" s="11" t="s">
        <v>3401</v>
      </c>
      <c r="B172" s="12" t="s">
        <v>3402</v>
      </c>
      <c r="C172" s="13" t="s">
        <v>346</v>
      </c>
      <c r="D172" s="13"/>
      <c r="E172" s="14">
        <v>15.402799999999999</v>
      </c>
      <c r="F172" s="14">
        <v>-15.4322</v>
      </c>
      <c r="G172" s="14">
        <v>40</v>
      </c>
      <c r="H172" s="14" t="s">
        <v>1436</v>
      </c>
      <c r="I172" s="14">
        <v>29</v>
      </c>
      <c r="J172" s="16">
        <v>404</v>
      </c>
    </row>
    <row r="173" spans="1:10" ht="30.75" thickBot="1" x14ac:dyDescent="0.3">
      <c r="A173" s="7" t="s">
        <v>3403</v>
      </c>
      <c r="B173" s="8" t="s">
        <v>3404</v>
      </c>
      <c r="C173" s="9"/>
      <c r="D173" s="9" t="s">
        <v>346</v>
      </c>
      <c r="E173" s="10">
        <v>51.521500000000003</v>
      </c>
      <c r="F173" s="10">
        <v>-0.1389</v>
      </c>
      <c r="G173" s="10">
        <v>21</v>
      </c>
      <c r="H173" s="10" t="s">
        <v>933</v>
      </c>
      <c r="I173" s="10">
        <v>11.3</v>
      </c>
      <c r="J173" s="15">
        <v>592</v>
      </c>
    </row>
    <row r="174" spans="1:10" ht="45.75" thickBot="1" x14ac:dyDescent="0.3">
      <c r="A174" s="11" t="s">
        <v>1000</v>
      </c>
      <c r="B174" s="12" t="s">
        <v>1001</v>
      </c>
      <c r="C174" s="13"/>
      <c r="D174" s="13" t="s">
        <v>346</v>
      </c>
      <c r="E174" s="14">
        <v>70.4953</v>
      </c>
      <c r="F174" s="14">
        <v>-149.88229999999999</v>
      </c>
      <c r="G174" s="14">
        <v>5</v>
      </c>
      <c r="H174" s="14" t="s">
        <v>761</v>
      </c>
      <c r="I174" s="14">
        <v>-11.2</v>
      </c>
      <c r="J174" s="16">
        <v>115.1</v>
      </c>
    </row>
    <row r="175" spans="1:10" ht="45.75" thickBot="1" x14ac:dyDescent="0.3">
      <c r="A175" s="7" t="s">
        <v>1006</v>
      </c>
      <c r="B175" s="8" t="s">
        <v>1007</v>
      </c>
      <c r="C175" s="9"/>
      <c r="D175" s="9" t="s">
        <v>346</v>
      </c>
      <c r="E175" s="10">
        <v>71.324200000000005</v>
      </c>
      <c r="F175" s="10">
        <v>-156.61490000000001</v>
      </c>
      <c r="G175" s="10">
        <v>4</v>
      </c>
      <c r="H175" s="10" t="s">
        <v>761</v>
      </c>
      <c r="I175" s="10">
        <v>-11.2</v>
      </c>
      <c r="J175" s="15">
        <v>115.1</v>
      </c>
    </row>
    <row r="176" spans="1:10" ht="105.75" thickBot="1" x14ac:dyDescent="0.3">
      <c r="A176" s="11" t="s">
        <v>1074</v>
      </c>
      <c r="B176" s="12" t="s">
        <v>1075</v>
      </c>
      <c r="C176" s="13" t="s">
        <v>346</v>
      </c>
      <c r="D176" s="13"/>
      <c r="E176" s="14">
        <v>36.426699999999997</v>
      </c>
      <c r="F176" s="14">
        <v>-99.42</v>
      </c>
      <c r="G176" s="14">
        <v>611</v>
      </c>
      <c r="H176" s="14" t="s">
        <v>367</v>
      </c>
      <c r="I176" s="14"/>
      <c r="J176" s="16"/>
    </row>
    <row r="177" spans="1:10" ht="105.75" thickBot="1" x14ac:dyDescent="0.3">
      <c r="A177" s="7" t="s">
        <v>1083</v>
      </c>
      <c r="B177" s="8" t="s">
        <v>1084</v>
      </c>
      <c r="C177" s="9" t="s">
        <v>346</v>
      </c>
      <c r="D177" s="9"/>
      <c r="E177" s="10">
        <v>36.635800000000003</v>
      </c>
      <c r="F177" s="10">
        <v>-99.597499999999997</v>
      </c>
      <c r="G177" s="10">
        <v>646</v>
      </c>
      <c r="H177" s="10" t="s">
        <v>367</v>
      </c>
      <c r="I177" s="10"/>
      <c r="J177" s="15"/>
    </row>
    <row r="178" spans="1:10" ht="90.75" thickBot="1" x14ac:dyDescent="0.3">
      <c r="A178" s="11" t="s">
        <v>11</v>
      </c>
      <c r="B178" s="12" t="s">
        <v>1097</v>
      </c>
      <c r="C178" s="13" t="s">
        <v>346</v>
      </c>
      <c r="D178" s="13"/>
      <c r="E178" s="14">
        <v>36.605800000000002</v>
      </c>
      <c r="F178" s="14">
        <v>-97.488799999999998</v>
      </c>
      <c r="G178" s="14">
        <v>314</v>
      </c>
      <c r="H178" s="14" t="s">
        <v>349</v>
      </c>
      <c r="I178" s="14">
        <v>14.76</v>
      </c>
      <c r="J178" s="16">
        <v>843</v>
      </c>
    </row>
    <row r="179" spans="1:10" ht="90.75" thickBot="1" x14ac:dyDescent="0.3">
      <c r="A179" s="7" t="s">
        <v>1087</v>
      </c>
      <c r="B179" s="8" t="s">
        <v>1088</v>
      </c>
      <c r="C179" s="9" t="s">
        <v>346</v>
      </c>
      <c r="D179" s="9"/>
      <c r="E179" s="10">
        <v>35.549700000000001</v>
      </c>
      <c r="F179" s="10">
        <v>-98.040199999999999</v>
      </c>
      <c r="G179" s="10">
        <v>424</v>
      </c>
      <c r="H179" s="10" t="s">
        <v>367</v>
      </c>
      <c r="I179" s="10"/>
      <c r="J179" s="15"/>
    </row>
    <row r="180" spans="1:10" ht="105.75" thickBot="1" x14ac:dyDescent="0.3">
      <c r="A180" s="11" t="s">
        <v>1093</v>
      </c>
      <c r="B180" s="12" t="s">
        <v>1094</v>
      </c>
      <c r="C180" s="13" t="s">
        <v>346</v>
      </c>
      <c r="D180" s="13"/>
      <c r="E180" s="14">
        <v>35.546500000000002</v>
      </c>
      <c r="F180" s="14">
        <v>-98.04</v>
      </c>
      <c r="G180" s="14">
        <v>424</v>
      </c>
      <c r="H180" s="14" t="s">
        <v>367</v>
      </c>
      <c r="I180" s="14"/>
      <c r="J180" s="16"/>
    </row>
    <row r="181" spans="1:10" ht="15.75" thickBot="1" x14ac:dyDescent="0.3">
      <c r="A181" s="7" t="s">
        <v>1117</v>
      </c>
      <c r="B181" s="8" t="s">
        <v>1118</v>
      </c>
      <c r="C181" s="9" t="s">
        <v>346</v>
      </c>
      <c r="D181" s="9" t="s">
        <v>346</v>
      </c>
      <c r="E181" s="10">
        <v>70.4696</v>
      </c>
      <c r="F181" s="10">
        <v>-157.40889999999999</v>
      </c>
      <c r="G181" s="10">
        <v>15</v>
      </c>
      <c r="H181" s="10" t="s">
        <v>376</v>
      </c>
      <c r="I181" s="10">
        <v>-9.6999999999999993</v>
      </c>
      <c r="J181" s="15">
        <v>93</v>
      </c>
    </row>
    <row r="182" spans="1:10" ht="60.75" thickBot="1" x14ac:dyDescent="0.3">
      <c r="A182" s="11" t="s">
        <v>16</v>
      </c>
      <c r="B182" s="12" t="s">
        <v>1251</v>
      </c>
      <c r="C182" s="13"/>
      <c r="D182" s="13" t="s">
        <v>346</v>
      </c>
      <c r="E182" s="14">
        <v>64.695499999999996</v>
      </c>
      <c r="F182" s="14">
        <v>-148.32079999999999</v>
      </c>
      <c r="G182" s="14">
        <v>100</v>
      </c>
      <c r="H182" s="14" t="s">
        <v>376</v>
      </c>
      <c r="I182" s="14">
        <v>-2.4</v>
      </c>
      <c r="J182" s="16">
        <v>274</v>
      </c>
    </row>
    <row r="183" spans="1:10" ht="45.75" thickBot="1" x14ac:dyDescent="0.3">
      <c r="A183" s="7" t="s">
        <v>17</v>
      </c>
      <c r="B183" s="8" t="s">
        <v>1259</v>
      </c>
      <c r="C183" s="9"/>
      <c r="D183" s="9" t="s">
        <v>346</v>
      </c>
      <c r="E183" s="10">
        <v>64.701300000000003</v>
      </c>
      <c r="F183" s="10">
        <v>-148.31209999999999</v>
      </c>
      <c r="G183" s="10">
        <v>95</v>
      </c>
      <c r="H183" s="10" t="s">
        <v>376</v>
      </c>
      <c r="I183" s="10">
        <v>-2.4</v>
      </c>
      <c r="J183" s="15">
        <v>274</v>
      </c>
    </row>
    <row r="184" spans="1:10" ht="60.75" thickBot="1" x14ac:dyDescent="0.3">
      <c r="A184" s="11" t="s">
        <v>19</v>
      </c>
      <c r="B184" s="12" t="s">
        <v>1270</v>
      </c>
      <c r="C184" s="13"/>
      <c r="D184" s="13" t="s">
        <v>346</v>
      </c>
      <c r="E184" s="14">
        <v>64.696299999999994</v>
      </c>
      <c r="F184" s="14">
        <v>-148.3235</v>
      </c>
      <c r="G184" s="14">
        <v>100</v>
      </c>
      <c r="H184" s="14" t="s">
        <v>513</v>
      </c>
      <c r="I184" s="14">
        <v>-2.4</v>
      </c>
      <c r="J184" s="16">
        <v>274</v>
      </c>
    </row>
    <row r="185" spans="1:10" ht="105.75" thickBot="1" x14ac:dyDescent="0.3">
      <c r="A185" s="7" t="s">
        <v>1148</v>
      </c>
      <c r="B185" s="8" t="s">
        <v>1149</v>
      </c>
      <c r="C185" s="9"/>
      <c r="D185" s="9" t="s">
        <v>346</v>
      </c>
      <c r="E185" s="10">
        <v>71.281000000000006</v>
      </c>
      <c r="F185" s="10">
        <v>-156.6123</v>
      </c>
      <c r="G185" s="10"/>
      <c r="H185" s="10" t="s">
        <v>376</v>
      </c>
      <c r="I185" s="10">
        <v>-11.3</v>
      </c>
      <c r="J185" s="15">
        <v>72</v>
      </c>
    </row>
    <row r="186" spans="1:10" ht="120.75" thickBot="1" x14ac:dyDescent="0.3">
      <c r="A186" s="11" t="s">
        <v>1150</v>
      </c>
      <c r="B186" s="12" t="s">
        <v>1151</v>
      </c>
      <c r="C186" s="13"/>
      <c r="D186" s="13" t="s">
        <v>346</v>
      </c>
      <c r="E186" s="14">
        <v>71.280900000000003</v>
      </c>
      <c r="F186" s="14">
        <v>-156.59649999999999</v>
      </c>
      <c r="G186" s="14">
        <v>4.5999999999999996</v>
      </c>
      <c r="H186" s="14" t="s">
        <v>376</v>
      </c>
      <c r="I186" s="14">
        <v>-12</v>
      </c>
      <c r="J186" s="16">
        <v>173</v>
      </c>
    </row>
    <row r="187" spans="1:10" ht="45.75" thickBot="1" x14ac:dyDescent="0.3">
      <c r="A187" s="7" t="s">
        <v>13</v>
      </c>
      <c r="B187" s="8" t="s">
        <v>1159</v>
      </c>
      <c r="C187" s="9"/>
      <c r="D187" s="9" t="s">
        <v>346</v>
      </c>
      <c r="E187" s="10">
        <v>38.099200000000003</v>
      </c>
      <c r="F187" s="10">
        <v>-121.49930000000001</v>
      </c>
      <c r="G187" s="10">
        <v>-2.7</v>
      </c>
      <c r="H187" s="10" t="s">
        <v>349</v>
      </c>
      <c r="I187" s="10">
        <v>16</v>
      </c>
      <c r="J187" s="15">
        <v>338</v>
      </c>
    </row>
    <row r="188" spans="1:10" ht="45.75" thickBot="1" x14ac:dyDescent="0.3">
      <c r="A188" s="11" t="s">
        <v>14</v>
      </c>
      <c r="B188" s="12" t="s">
        <v>1166</v>
      </c>
      <c r="C188" s="13"/>
      <c r="D188" s="13" t="s">
        <v>346</v>
      </c>
      <c r="E188" s="14">
        <v>38.109099999999998</v>
      </c>
      <c r="F188" s="14">
        <v>-121.5351</v>
      </c>
      <c r="G188" s="14">
        <v>-5</v>
      </c>
      <c r="H188" s="14" t="s">
        <v>349</v>
      </c>
      <c r="I188" s="14">
        <v>16</v>
      </c>
      <c r="J188" s="16">
        <v>338</v>
      </c>
    </row>
    <row r="189" spans="1:10" ht="30.75" thickBot="1" x14ac:dyDescent="0.3">
      <c r="A189" s="7" t="s">
        <v>1182</v>
      </c>
      <c r="B189" s="8" t="s">
        <v>1183</v>
      </c>
      <c r="C189" s="9" t="s">
        <v>346</v>
      </c>
      <c r="D189" s="9"/>
      <c r="E189" s="10">
        <v>38.895299999999999</v>
      </c>
      <c r="F189" s="10">
        <v>-120.6328</v>
      </c>
      <c r="G189" s="10">
        <v>1315</v>
      </c>
      <c r="H189" s="10" t="s">
        <v>513</v>
      </c>
      <c r="I189" s="10">
        <v>11.09</v>
      </c>
      <c r="J189" s="15">
        <v>1226</v>
      </c>
    </row>
    <row r="190" spans="1:10" ht="60.75" thickBot="1" x14ac:dyDescent="0.3">
      <c r="A190" s="11" t="s">
        <v>1374</v>
      </c>
      <c r="B190" s="12" t="s">
        <v>1375</v>
      </c>
      <c r="C190" s="13" t="s">
        <v>346</v>
      </c>
      <c r="D190" s="13" t="s">
        <v>346</v>
      </c>
      <c r="E190" s="14">
        <v>41.628500000000003</v>
      </c>
      <c r="F190" s="14">
        <v>-83.347099999999998</v>
      </c>
      <c r="G190" s="14">
        <v>180</v>
      </c>
      <c r="H190" s="14" t="s">
        <v>349</v>
      </c>
      <c r="I190" s="14">
        <v>10.1</v>
      </c>
      <c r="J190" s="16">
        <v>849</v>
      </c>
    </row>
    <row r="191" spans="1:10" ht="30.75" thickBot="1" x14ac:dyDescent="0.3">
      <c r="A191" s="7" t="s">
        <v>1353</v>
      </c>
      <c r="B191" s="8" t="s">
        <v>1354</v>
      </c>
      <c r="C191" s="9" t="s">
        <v>346</v>
      </c>
      <c r="D191" s="9"/>
      <c r="E191" s="10">
        <v>38.090000000000003</v>
      </c>
      <c r="F191" s="10">
        <v>-109.39</v>
      </c>
      <c r="G191" s="10">
        <v>1520</v>
      </c>
      <c r="H191" s="10" t="s">
        <v>367</v>
      </c>
      <c r="I191" s="10"/>
      <c r="J191" s="15"/>
    </row>
    <row r="192" spans="1:10" ht="75.75" thickBot="1" x14ac:dyDescent="0.3">
      <c r="A192" s="11" t="s">
        <v>1502</v>
      </c>
      <c r="B192" s="12" t="s">
        <v>1503</v>
      </c>
      <c r="C192" s="13"/>
      <c r="D192" s="13" t="s">
        <v>346</v>
      </c>
      <c r="E192" s="14">
        <v>28.052099999999999</v>
      </c>
      <c r="F192" s="14">
        <v>-81.436099999999996</v>
      </c>
      <c r="G192" s="14">
        <v>23</v>
      </c>
      <c r="H192" s="14" t="s">
        <v>376</v>
      </c>
      <c r="I192" s="14">
        <v>22.6</v>
      </c>
      <c r="J192" s="16">
        <v>1142</v>
      </c>
    </row>
    <row r="193" spans="1:10" ht="60.75" thickBot="1" x14ac:dyDescent="0.3">
      <c r="A193" s="7" t="s">
        <v>30</v>
      </c>
      <c r="B193" s="8" t="s">
        <v>1533</v>
      </c>
      <c r="C193" s="9"/>
      <c r="D193" s="9" t="s">
        <v>346</v>
      </c>
      <c r="E193" s="10">
        <v>37.615600000000001</v>
      </c>
      <c r="F193" s="10">
        <v>-122.114</v>
      </c>
      <c r="G193" s="10"/>
      <c r="H193" s="10" t="s">
        <v>376</v>
      </c>
      <c r="I193" s="10"/>
      <c r="J193" s="15"/>
    </row>
    <row r="194" spans="1:10" ht="120.75" thickBot="1" x14ac:dyDescent="0.3">
      <c r="A194" s="11" t="s">
        <v>31</v>
      </c>
      <c r="B194" s="12" t="s">
        <v>1559</v>
      </c>
      <c r="C194" s="13"/>
      <c r="D194" s="13" t="s">
        <v>346</v>
      </c>
      <c r="E194" s="14">
        <v>63.878399999999999</v>
      </c>
      <c r="F194" s="14">
        <v>-149.25360000000001</v>
      </c>
      <c r="G194" s="14">
        <v>662</v>
      </c>
      <c r="H194" s="14" t="s">
        <v>581</v>
      </c>
      <c r="I194" s="14">
        <v>-1</v>
      </c>
      <c r="J194" s="16">
        <v>378</v>
      </c>
    </row>
    <row r="195" spans="1:10" ht="45.75" thickBot="1" x14ac:dyDescent="0.3">
      <c r="A195" s="7" t="s">
        <v>1621</v>
      </c>
      <c r="B195" s="8" t="s">
        <v>1622</v>
      </c>
      <c r="C195" s="9" t="s">
        <v>346</v>
      </c>
      <c r="D195" s="9"/>
      <c r="E195" s="10">
        <v>41.3658</v>
      </c>
      <c r="F195" s="10">
        <v>-106.2397</v>
      </c>
      <c r="G195" s="10">
        <v>3191</v>
      </c>
      <c r="H195" s="10" t="s">
        <v>513</v>
      </c>
      <c r="I195" s="10">
        <v>0.8</v>
      </c>
      <c r="J195" s="15">
        <v>1200</v>
      </c>
    </row>
    <row r="196" spans="1:10" ht="15.75" thickBot="1" x14ac:dyDescent="0.3">
      <c r="A196" s="11" t="s">
        <v>32</v>
      </c>
      <c r="B196" s="12" t="s">
        <v>1637</v>
      </c>
      <c r="C196" s="13" t="s">
        <v>346</v>
      </c>
      <c r="D196" s="13"/>
      <c r="E196" s="14">
        <v>41.366500000000002</v>
      </c>
      <c r="F196" s="14">
        <v>-106.23990000000001</v>
      </c>
      <c r="G196" s="14">
        <v>3197</v>
      </c>
      <c r="H196" s="14" t="s">
        <v>513</v>
      </c>
      <c r="I196" s="14">
        <v>0.8</v>
      </c>
      <c r="J196" s="16">
        <v>1200</v>
      </c>
    </row>
    <row r="197" spans="1:10" ht="30.75" thickBot="1" x14ac:dyDescent="0.3">
      <c r="A197" s="7" t="s">
        <v>1649</v>
      </c>
      <c r="B197" s="8" t="s">
        <v>1650</v>
      </c>
      <c r="C197" s="9" t="s">
        <v>346</v>
      </c>
      <c r="D197" s="9"/>
      <c r="E197" s="10">
        <v>34.2547</v>
      </c>
      <c r="F197" s="10">
        <v>-89.873500000000007</v>
      </c>
      <c r="G197" s="10">
        <v>87</v>
      </c>
      <c r="H197" s="10" t="s">
        <v>367</v>
      </c>
      <c r="I197" s="10">
        <v>15.89</v>
      </c>
      <c r="J197" s="15">
        <v>1425.77</v>
      </c>
    </row>
    <row r="198" spans="1:10" ht="75.75" thickBot="1" x14ac:dyDescent="0.3">
      <c r="A198" s="11" t="s">
        <v>1731</v>
      </c>
      <c r="B198" s="12" t="s">
        <v>1732</v>
      </c>
      <c r="C198" s="13"/>
      <c r="D198" s="13" t="s">
        <v>346</v>
      </c>
      <c r="E198" s="14">
        <v>34.5852</v>
      </c>
      <c r="F198" s="14">
        <v>-91.7517</v>
      </c>
      <c r="G198" s="14"/>
      <c r="H198" s="14" t="s">
        <v>349</v>
      </c>
      <c r="I198" s="14">
        <v>16.7</v>
      </c>
      <c r="J198" s="16">
        <v>1250</v>
      </c>
    </row>
    <row r="199" spans="1:10" ht="75.75" thickBot="1" x14ac:dyDescent="0.3">
      <c r="A199" s="7" t="s">
        <v>1736</v>
      </c>
      <c r="B199" s="8" t="s">
        <v>1737</v>
      </c>
      <c r="C199" s="9"/>
      <c r="D199" s="9" t="s">
        <v>346</v>
      </c>
      <c r="E199" s="10">
        <v>34.588799999999999</v>
      </c>
      <c r="F199" s="10">
        <v>-91.7517</v>
      </c>
      <c r="G199" s="10"/>
      <c r="H199" s="10" t="s">
        <v>349</v>
      </c>
      <c r="I199" s="10">
        <v>16.7</v>
      </c>
      <c r="J199" s="15">
        <v>1250</v>
      </c>
    </row>
    <row r="200" spans="1:10" ht="75.75" thickBot="1" x14ac:dyDescent="0.3">
      <c r="A200" s="11" t="s">
        <v>33</v>
      </c>
      <c r="B200" s="12" t="s">
        <v>1665</v>
      </c>
      <c r="C200" s="13" t="s">
        <v>346</v>
      </c>
      <c r="D200" s="13"/>
      <c r="E200" s="14">
        <v>42.537799999999997</v>
      </c>
      <c r="F200" s="14">
        <v>-72.171499999999995</v>
      </c>
      <c r="G200" s="14">
        <v>340</v>
      </c>
      <c r="H200" s="14" t="s">
        <v>428</v>
      </c>
      <c r="I200" s="14">
        <v>6.62</v>
      </c>
      <c r="J200" s="16">
        <v>1071</v>
      </c>
    </row>
    <row r="201" spans="1:10" ht="60.75" thickBot="1" x14ac:dyDescent="0.3">
      <c r="A201" s="7" t="s">
        <v>1711</v>
      </c>
      <c r="B201" s="8" t="s">
        <v>1712</v>
      </c>
      <c r="C201" s="9"/>
      <c r="D201" s="9" t="s">
        <v>346</v>
      </c>
      <c r="E201" s="10">
        <v>45.204099999999997</v>
      </c>
      <c r="F201" s="10">
        <v>-68.740200000000002</v>
      </c>
      <c r="G201" s="10">
        <v>60</v>
      </c>
      <c r="H201" s="10" t="s">
        <v>513</v>
      </c>
      <c r="I201" s="10">
        <v>5.27</v>
      </c>
      <c r="J201" s="15">
        <v>1070</v>
      </c>
    </row>
    <row r="202" spans="1:10" ht="135.75" thickBot="1" x14ac:dyDescent="0.3">
      <c r="A202" s="11" t="s">
        <v>1768</v>
      </c>
      <c r="B202" s="12" t="s">
        <v>1769</v>
      </c>
      <c r="C202" s="13" t="s">
        <v>346</v>
      </c>
      <c r="D202" s="13"/>
      <c r="E202" s="14">
        <v>41.840600000000002</v>
      </c>
      <c r="F202" s="14">
        <v>-88.241</v>
      </c>
      <c r="G202" s="14">
        <v>226.5</v>
      </c>
      <c r="H202" s="14" t="s">
        <v>367</v>
      </c>
      <c r="I202" s="14">
        <v>9.0399999999999991</v>
      </c>
      <c r="J202" s="16">
        <v>930.25</v>
      </c>
    </row>
    <row r="203" spans="1:10" ht="90.75" thickBot="1" x14ac:dyDescent="0.3">
      <c r="A203" s="7" t="s">
        <v>42</v>
      </c>
      <c r="B203" s="8" t="s">
        <v>1779</v>
      </c>
      <c r="C203" s="9"/>
      <c r="D203" s="9" t="s">
        <v>346</v>
      </c>
      <c r="E203" s="10">
        <v>68.605800000000002</v>
      </c>
      <c r="F203" s="10">
        <v>-149.31100000000001</v>
      </c>
      <c r="G203" s="10">
        <v>920</v>
      </c>
      <c r="H203" s="10" t="s">
        <v>376</v>
      </c>
      <c r="I203" s="10">
        <v>-7.4</v>
      </c>
      <c r="J203" s="15">
        <v>318</v>
      </c>
    </row>
    <row r="204" spans="1:10" ht="15.75" thickBot="1" x14ac:dyDescent="0.3">
      <c r="A204" s="11" t="s">
        <v>1826</v>
      </c>
      <c r="B204" s="12" t="s">
        <v>1827</v>
      </c>
      <c r="C204" s="13" t="s">
        <v>346</v>
      </c>
      <c r="D204" s="13" t="s">
        <v>346</v>
      </c>
      <c r="E204" s="14">
        <v>68.486500000000007</v>
      </c>
      <c r="F204" s="14">
        <v>-155.75030000000001</v>
      </c>
      <c r="G204" s="14">
        <v>568</v>
      </c>
      <c r="H204" s="14" t="s">
        <v>376</v>
      </c>
      <c r="I204" s="14">
        <v>-8.2799999999999994</v>
      </c>
      <c r="J204" s="16">
        <v>304</v>
      </c>
    </row>
    <row r="205" spans="1:10" ht="75.75" thickBot="1" x14ac:dyDescent="0.3">
      <c r="A205" s="7" t="s">
        <v>1910</v>
      </c>
      <c r="B205" s="8" t="s">
        <v>1911</v>
      </c>
      <c r="C205" s="9" t="s">
        <v>346</v>
      </c>
      <c r="D205" s="9"/>
      <c r="E205" s="10">
        <v>28.458300000000001</v>
      </c>
      <c r="F205" s="10">
        <v>-80.670900000000003</v>
      </c>
      <c r="G205" s="10">
        <v>1</v>
      </c>
      <c r="H205" s="10" t="s">
        <v>513</v>
      </c>
      <c r="I205" s="10">
        <v>21.9</v>
      </c>
      <c r="J205" s="15">
        <v>1266</v>
      </c>
    </row>
    <row r="206" spans="1:10" ht="75.75" thickBot="1" x14ac:dyDescent="0.3">
      <c r="A206" s="11" t="s">
        <v>1917</v>
      </c>
      <c r="B206" s="12" t="s">
        <v>1918</v>
      </c>
      <c r="C206" s="13" t="s">
        <v>346</v>
      </c>
      <c r="D206" s="13"/>
      <c r="E206" s="14">
        <v>28.608599999999999</v>
      </c>
      <c r="F206" s="14">
        <v>-80.671499999999995</v>
      </c>
      <c r="G206" s="14">
        <v>3</v>
      </c>
      <c r="H206" s="14" t="s">
        <v>925</v>
      </c>
      <c r="I206" s="14">
        <v>21.66</v>
      </c>
      <c r="J206" s="16">
        <v>1294</v>
      </c>
    </row>
    <row r="207" spans="1:10" ht="75.75" thickBot="1" x14ac:dyDescent="0.3">
      <c r="A207" s="7" t="s">
        <v>1942</v>
      </c>
      <c r="B207" s="8" t="s">
        <v>1943</v>
      </c>
      <c r="C207" s="9"/>
      <c r="D207" s="9" t="s">
        <v>346</v>
      </c>
      <c r="E207" s="10">
        <v>29.501300000000001</v>
      </c>
      <c r="F207" s="10">
        <v>-90.444900000000004</v>
      </c>
      <c r="G207" s="10">
        <v>0</v>
      </c>
      <c r="H207" s="10" t="s">
        <v>376</v>
      </c>
      <c r="I207" s="10">
        <v>20.7</v>
      </c>
      <c r="J207" s="15">
        <v>1625</v>
      </c>
    </row>
    <row r="208" spans="1:10" ht="60.75" thickBot="1" x14ac:dyDescent="0.3">
      <c r="A208" s="11" t="s">
        <v>1948</v>
      </c>
      <c r="B208" s="12" t="s">
        <v>1949</v>
      </c>
      <c r="C208" s="13"/>
      <c r="D208" s="13" t="s">
        <v>346</v>
      </c>
      <c r="E208" s="14">
        <v>29.858699999999999</v>
      </c>
      <c r="F208" s="14">
        <v>-90.286900000000003</v>
      </c>
      <c r="G208" s="14">
        <v>0</v>
      </c>
      <c r="H208" s="14" t="s">
        <v>376</v>
      </c>
      <c r="I208" s="14">
        <v>20.2</v>
      </c>
      <c r="J208" s="16">
        <v>1655</v>
      </c>
    </row>
    <row r="209" spans="1:10" ht="60.75" thickBot="1" x14ac:dyDescent="0.3">
      <c r="A209" s="7" t="s">
        <v>2006</v>
      </c>
      <c r="B209" s="8" t="s">
        <v>2007</v>
      </c>
      <c r="C209" s="9" t="s">
        <v>346</v>
      </c>
      <c r="D209" s="9"/>
      <c r="E209" s="10">
        <v>34.9604</v>
      </c>
      <c r="F209" s="10">
        <v>-97.978899999999996</v>
      </c>
      <c r="G209" s="10">
        <v>365</v>
      </c>
      <c r="H209" s="10" t="s">
        <v>367</v>
      </c>
      <c r="I209" s="10">
        <v>16.09</v>
      </c>
      <c r="J209" s="15">
        <v>805.12</v>
      </c>
    </row>
    <row r="210" spans="1:10" ht="45.75" thickBot="1" x14ac:dyDescent="0.3">
      <c r="A210" s="11" t="s">
        <v>1960</v>
      </c>
      <c r="B210" s="12" t="s">
        <v>1961</v>
      </c>
      <c r="C210" s="13" t="s">
        <v>346</v>
      </c>
      <c r="D210" s="13"/>
      <c r="E210" s="14">
        <v>36.3566</v>
      </c>
      <c r="F210" s="14">
        <v>-119.09220000000001</v>
      </c>
      <c r="G210" s="14">
        <v>131</v>
      </c>
      <c r="H210" s="14" t="s">
        <v>349</v>
      </c>
      <c r="I210" s="14"/>
      <c r="J210" s="16"/>
    </row>
    <row r="211" spans="1:10" ht="30.75" thickBot="1" x14ac:dyDescent="0.3">
      <c r="A211" s="7" t="s">
        <v>1983</v>
      </c>
      <c r="B211" s="8" t="s">
        <v>1984</v>
      </c>
      <c r="C211" s="9" t="s">
        <v>346</v>
      </c>
      <c r="D211" s="9" t="s">
        <v>346</v>
      </c>
      <c r="E211" s="10">
        <v>46.082700000000003</v>
      </c>
      <c r="F211" s="10">
        <v>-89.979200000000006</v>
      </c>
      <c r="G211" s="10">
        <v>480</v>
      </c>
      <c r="H211" s="10" t="s">
        <v>376</v>
      </c>
      <c r="I211" s="10">
        <v>4.08</v>
      </c>
      <c r="J211" s="15">
        <v>828</v>
      </c>
    </row>
    <row r="212" spans="1:10" ht="45.75" thickBot="1" x14ac:dyDescent="0.3">
      <c r="A212" s="11" t="s">
        <v>2011</v>
      </c>
      <c r="B212" s="12" t="s">
        <v>2012</v>
      </c>
      <c r="C212" s="13"/>
      <c r="D212" s="13" t="s">
        <v>346</v>
      </c>
      <c r="E212" s="14">
        <v>27.1632</v>
      </c>
      <c r="F212" s="14">
        <v>-81.187299999999993</v>
      </c>
      <c r="G212" s="14"/>
      <c r="H212" s="14" t="s">
        <v>376</v>
      </c>
      <c r="I212" s="14"/>
      <c r="J212" s="16"/>
    </row>
    <row r="213" spans="1:10" ht="60.75" thickBot="1" x14ac:dyDescent="0.3">
      <c r="A213" s="7" t="s">
        <v>52</v>
      </c>
      <c r="B213" s="8" t="s">
        <v>2106</v>
      </c>
      <c r="C213" s="9" t="s">
        <v>346</v>
      </c>
      <c r="D213" s="9"/>
      <c r="E213" s="10">
        <v>39.3232</v>
      </c>
      <c r="F213" s="10">
        <v>-86.4131</v>
      </c>
      <c r="G213" s="10">
        <v>275</v>
      </c>
      <c r="H213" s="10" t="s">
        <v>428</v>
      </c>
      <c r="I213" s="10">
        <v>10.85</v>
      </c>
      <c r="J213" s="15">
        <v>1032</v>
      </c>
    </row>
    <row r="214" spans="1:10" ht="90.75" thickBot="1" x14ac:dyDescent="0.3">
      <c r="A214" s="11" t="s">
        <v>2151</v>
      </c>
      <c r="B214" s="12" t="s">
        <v>2152</v>
      </c>
      <c r="C214" s="13"/>
      <c r="D214" s="13" t="s">
        <v>346</v>
      </c>
      <c r="E214" s="14">
        <v>40.816400000000002</v>
      </c>
      <c r="F214" s="14">
        <v>-74.043499999999995</v>
      </c>
      <c r="G214" s="14">
        <v>1</v>
      </c>
      <c r="H214" s="14" t="s">
        <v>376</v>
      </c>
      <c r="I214" s="14">
        <v>13.5</v>
      </c>
      <c r="J214" s="16">
        <v>1120</v>
      </c>
    </row>
    <row r="215" spans="1:10" ht="45.75" thickBot="1" x14ac:dyDescent="0.3">
      <c r="A215" s="7" t="s">
        <v>2029</v>
      </c>
      <c r="B215" s="8" t="s">
        <v>2030</v>
      </c>
      <c r="C215" s="9" t="s">
        <v>346</v>
      </c>
      <c r="D215" s="9"/>
      <c r="E215" s="10">
        <v>44.5794</v>
      </c>
      <c r="F215" s="10">
        <v>-121.5</v>
      </c>
      <c r="G215" s="10">
        <v>896</v>
      </c>
      <c r="H215" s="10" t="s">
        <v>513</v>
      </c>
      <c r="I215" s="10">
        <v>7.88</v>
      </c>
      <c r="J215" s="15">
        <v>704.61</v>
      </c>
    </row>
    <row r="216" spans="1:10" ht="60.75" thickBot="1" x14ac:dyDescent="0.3">
      <c r="A216" s="11" t="s">
        <v>50</v>
      </c>
      <c r="B216" s="12" t="s">
        <v>2035</v>
      </c>
      <c r="C216" s="13" t="s">
        <v>346</v>
      </c>
      <c r="D216" s="13"/>
      <c r="E216" s="14">
        <v>44.452599999999997</v>
      </c>
      <c r="F216" s="14">
        <v>-121.55889999999999</v>
      </c>
      <c r="G216" s="14">
        <v>1253</v>
      </c>
      <c r="H216" s="14" t="s">
        <v>513</v>
      </c>
      <c r="I216" s="14">
        <v>6.28</v>
      </c>
      <c r="J216" s="16">
        <v>523</v>
      </c>
    </row>
    <row r="217" spans="1:10" ht="75.75" thickBot="1" x14ac:dyDescent="0.3">
      <c r="A217" s="7" t="s">
        <v>2042</v>
      </c>
      <c r="B217" s="8" t="s">
        <v>2043</v>
      </c>
      <c r="C217" s="9" t="s">
        <v>346</v>
      </c>
      <c r="D217" s="9"/>
      <c r="E217" s="10">
        <v>44.315399999999997</v>
      </c>
      <c r="F217" s="10">
        <v>-121.6078</v>
      </c>
      <c r="G217" s="10">
        <v>1005</v>
      </c>
      <c r="H217" s="10" t="s">
        <v>513</v>
      </c>
      <c r="I217" s="10">
        <v>7.07</v>
      </c>
      <c r="J217" s="15">
        <v>719</v>
      </c>
    </row>
    <row r="218" spans="1:10" ht="60.75" thickBot="1" x14ac:dyDescent="0.3">
      <c r="A218" s="11" t="s">
        <v>2048</v>
      </c>
      <c r="B218" s="12" t="s">
        <v>2049</v>
      </c>
      <c r="C218" s="13" t="s">
        <v>346</v>
      </c>
      <c r="D218" s="13"/>
      <c r="E218" s="14">
        <v>44.499200000000002</v>
      </c>
      <c r="F218" s="14">
        <v>-121.6224</v>
      </c>
      <c r="G218" s="14">
        <v>922</v>
      </c>
      <c r="H218" s="14" t="s">
        <v>513</v>
      </c>
      <c r="I218" s="14">
        <v>7.61</v>
      </c>
      <c r="J218" s="16">
        <v>1038.82</v>
      </c>
    </row>
    <row r="219" spans="1:10" ht="75.75" thickBot="1" x14ac:dyDescent="0.3">
      <c r="A219" s="7" t="s">
        <v>2053</v>
      </c>
      <c r="B219" s="8" t="s">
        <v>2054</v>
      </c>
      <c r="C219" s="9" t="s">
        <v>346</v>
      </c>
      <c r="D219" s="9"/>
      <c r="E219" s="10">
        <v>44.437199999999997</v>
      </c>
      <c r="F219" s="10">
        <v>-121.5668</v>
      </c>
      <c r="G219" s="10">
        <v>1188</v>
      </c>
      <c r="H219" s="10" t="s">
        <v>513</v>
      </c>
      <c r="I219" s="10">
        <v>6.47</v>
      </c>
      <c r="J219" s="15">
        <v>590.80999999999995</v>
      </c>
    </row>
    <row r="220" spans="1:10" ht="60.75" thickBot="1" x14ac:dyDescent="0.3">
      <c r="A220" s="11" t="s">
        <v>51</v>
      </c>
      <c r="B220" s="12" t="s">
        <v>2058</v>
      </c>
      <c r="C220" s="13" t="s">
        <v>346</v>
      </c>
      <c r="D220" s="13"/>
      <c r="E220" s="14">
        <v>44.323300000000003</v>
      </c>
      <c r="F220" s="14">
        <v>-121.6078</v>
      </c>
      <c r="G220" s="14">
        <v>998</v>
      </c>
      <c r="H220" s="14" t="s">
        <v>513</v>
      </c>
      <c r="I220" s="14">
        <v>7.59</v>
      </c>
      <c r="J220" s="16">
        <v>494</v>
      </c>
    </row>
    <row r="221" spans="1:10" ht="45.75" thickBot="1" x14ac:dyDescent="0.3">
      <c r="A221" s="7" t="s">
        <v>58</v>
      </c>
      <c r="B221" s="8" t="s">
        <v>2190</v>
      </c>
      <c r="C221" s="9" t="s">
        <v>346</v>
      </c>
      <c r="D221" s="9" t="s">
        <v>346</v>
      </c>
      <c r="E221" s="10">
        <v>38.049900000000001</v>
      </c>
      <c r="F221" s="10">
        <v>-121.765</v>
      </c>
      <c r="G221" s="10">
        <v>-4</v>
      </c>
      <c r="H221" s="10" t="s">
        <v>376</v>
      </c>
      <c r="I221" s="10">
        <v>15.9</v>
      </c>
      <c r="J221" s="15">
        <v>338</v>
      </c>
    </row>
    <row r="222" spans="1:10" ht="30.75" thickBot="1" x14ac:dyDescent="0.3">
      <c r="A222" s="11" t="s">
        <v>60</v>
      </c>
      <c r="B222" s="12" t="s">
        <v>2211</v>
      </c>
      <c r="C222" s="13"/>
      <c r="D222" s="13" t="s">
        <v>346</v>
      </c>
      <c r="E222" s="14">
        <v>35.7879</v>
      </c>
      <c r="F222" s="14">
        <v>-75.903800000000004</v>
      </c>
      <c r="G222" s="14">
        <v>1</v>
      </c>
      <c r="H222" s="14" t="s">
        <v>376</v>
      </c>
      <c r="I222" s="14">
        <v>16.600000000000001</v>
      </c>
      <c r="J222" s="16">
        <v>1311</v>
      </c>
    </row>
    <row r="223" spans="1:10" ht="45.75" thickBot="1" x14ac:dyDescent="0.3">
      <c r="A223" s="7" t="s">
        <v>62</v>
      </c>
      <c r="B223" s="8" t="s">
        <v>2228</v>
      </c>
      <c r="C223" s="9"/>
      <c r="D223" s="9" t="s">
        <v>346</v>
      </c>
      <c r="E223" s="10">
        <v>71.28</v>
      </c>
      <c r="F223" s="10">
        <v>-156.60919999999999</v>
      </c>
      <c r="G223" s="10">
        <v>5.2729999999999997</v>
      </c>
      <c r="H223" s="10" t="s">
        <v>2229</v>
      </c>
      <c r="I223" s="10">
        <v>-11.27</v>
      </c>
      <c r="J223" s="15">
        <v>171</v>
      </c>
    </row>
    <row r="224" spans="1:10" ht="45.75" thickBot="1" x14ac:dyDescent="0.3">
      <c r="A224" s="11" t="s">
        <v>63</v>
      </c>
      <c r="B224" s="12" t="s">
        <v>2235</v>
      </c>
      <c r="C224" s="13"/>
      <c r="D224" s="13" t="s">
        <v>346</v>
      </c>
      <c r="E224" s="14">
        <v>64.861800000000002</v>
      </c>
      <c r="F224" s="14">
        <v>-163.7002</v>
      </c>
      <c r="G224" s="14">
        <v>35</v>
      </c>
      <c r="H224" s="14" t="s">
        <v>367</v>
      </c>
      <c r="I224" s="14"/>
      <c r="J224" s="16"/>
    </row>
    <row r="225" spans="1:10" ht="75.75" thickBot="1" x14ac:dyDescent="0.3">
      <c r="A225" s="7" t="s">
        <v>2249</v>
      </c>
      <c r="B225" s="8" t="s">
        <v>2250</v>
      </c>
      <c r="C225" s="9" t="s">
        <v>346</v>
      </c>
      <c r="D225" s="9"/>
      <c r="E225" s="10">
        <v>40.032899999999998</v>
      </c>
      <c r="F225" s="10">
        <v>-105.54640000000001</v>
      </c>
      <c r="G225" s="10">
        <v>3050</v>
      </c>
      <c r="H225" s="10" t="s">
        <v>513</v>
      </c>
      <c r="I225" s="10">
        <v>1.5</v>
      </c>
      <c r="J225" s="15">
        <v>800</v>
      </c>
    </row>
    <row r="226" spans="1:10" ht="75.75" thickBot="1" x14ac:dyDescent="0.3">
      <c r="A226" s="11" t="s">
        <v>61</v>
      </c>
      <c r="B226" s="12" t="s">
        <v>2215</v>
      </c>
      <c r="C226" s="13" t="s">
        <v>346</v>
      </c>
      <c r="D226" s="13"/>
      <c r="E226" s="14">
        <v>41.165100000000002</v>
      </c>
      <c r="F226" s="14">
        <v>-96.476600000000005</v>
      </c>
      <c r="G226" s="14">
        <v>361</v>
      </c>
      <c r="H226" s="14" t="s">
        <v>349</v>
      </c>
      <c r="I226" s="14">
        <v>10.07</v>
      </c>
      <c r="J226" s="16">
        <v>790.37</v>
      </c>
    </row>
    <row r="227" spans="1:10" ht="90.75" thickBot="1" x14ac:dyDescent="0.3">
      <c r="A227" s="7" t="s">
        <v>2222</v>
      </c>
      <c r="B227" s="8" t="s">
        <v>2223</v>
      </c>
      <c r="C227" s="9" t="s">
        <v>346</v>
      </c>
      <c r="D227" s="9"/>
      <c r="E227" s="10">
        <v>41.164900000000003</v>
      </c>
      <c r="F227" s="10">
        <v>-96.470100000000002</v>
      </c>
      <c r="G227" s="10">
        <v>362</v>
      </c>
      <c r="H227" s="10" t="s">
        <v>349</v>
      </c>
      <c r="I227" s="10">
        <v>10.08</v>
      </c>
      <c r="J227" s="15">
        <v>788.89</v>
      </c>
    </row>
    <row r="228" spans="1:10" ht="90.75" thickBot="1" x14ac:dyDescent="0.3">
      <c r="A228" s="11" t="s">
        <v>2225</v>
      </c>
      <c r="B228" s="12" t="s">
        <v>2226</v>
      </c>
      <c r="C228" s="13" t="s">
        <v>346</v>
      </c>
      <c r="D228" s="13"/>
      <c r="E228" s="14">
        <v>41.179699999999997</v>
      </c>
      <c r="F228" s="14">
        <v>-96.439700000000002</v>
      </c>
      <c r="G228" s="14">
        <v>363</v>
      </c>
      <c r="H228" s="14" t="s">
        <v>349</v>
      </c>
      <c r="I228" s="14">
        <v>10.11</v>
      </c>
      <c r="J228" s="16">
        <v>783.68</v>
      </c>
    </row>
    <row r="229" spans="1:10" ht="75.75" thickBot="1" x14ac:dyDescent="0.3">
      <c r="A229" s="7" t="s">
        <v>2296</v>
      </c>
      <c r="B229" s="8" t="s">
        <v>2297</v>
      </c>
      <c r="C229" s="9" t="s">
        <v>346</v>
      </c>
      <c r="D229" s="9" t="s">
        <v>346</v>
      </c>
      <c r="E229" s="10">
        <v>40.020099999999999</v>
      </c>
      <c r="F229" s="10">
        <v>-83.018299999999996</v>
      </c>
      <c r="G229" s="10">
        <v>221</v>
      </c>
      <c r="H229" s="10" t="s">
        <v>376</v>
      </c>
      <c r="I229" s="10">
        <v>11.63</v>
      </c>
      <c r="J229" s="15">
        <v>1499.1</v>
      </c>
    </row>
    <row r="230" spans="1:10" ht="45.75" thickBot="1" x14ac:dyDescent="0.3">
      <c r="A230" s="11" t="s">
        <v>2303</v>
      </c>
      <c r="B230" s="12" t="s">
        <v>2304</v>
      </c>
      <c r="C230" s="13"/>
      <c r="D230" s="13" t="s">
        <v>346</v>
      </c>
      <c r="E230" s="14">
        <v>41.3795</v>
      </c>
      <c r="F230" s="14">
        <v>-82.512500000000003</v>
      </c>
      <c r="G230" s="14">
        <v>174</v>
      </c>
      <c r="H230" s="14" t="s">
        <v>376</v>
      </c>
      <c r="I230" s="14">
        <v>10.7</v>
      </c>
      <c r="J230" s="16">
        <v>930</v>
      </c>
    </row>
    <row r="231" spans="1:10" ht="45.75" thickBot="1" x14ac:dyDescent="0.3">
      <c r="A231" s="7" t="s">
        <v>3405</v>
      </c>
      <c r="B231" s="8" t="s">
        <v>3406</v>
      </c>
      <c r="C231" s="9" t="s">
        <v>346</v>
      </c>
      <c r="D231" s="9"/>
      <c r="E231" s="10">
        <v>41.554499999999997</v>
      </c>
      <c r="F231" s="10">
        <v>-83.843800000000002</v>
      </c>
      <c r="G231" s="10">
        <v>230</v>
      </c>
      <c r="H231" s="10" t="s">
        <v>428</v>
      </c>
      <c r="I231" s="10">
        <v>10.1</v>
      </c>
      <c r="J231" s="15">
        <v>849</v>
      </c>
    </row>
    <row r="232" spans="1:10" ht="45.75" thickBot="1" x14ac:dyDescent="0.3">
      <c r="A232" s="11" t="s">
        <v>2316</v>
      </c>
      <c r="B232" s="12" t="s">
        <v>2317</v>
      </c>
      <c r="C232" s="13" t="s">
        <v>346</v>
      </c>
      <c r="D232" s="13" t="s">
        <v>346</v>
      </c>
      <c r="E232" s="14">
        <v>45.945900000000002</v>
      </c>
      <c r="F232" s="14">
        <v>-90.272300000000001</v>
      </c>
      <c r="G232" s="14">
        <v>470</v>
      </c>
      <c r="H232" s="14" t="s">
        <v>479</v>
      </c>
      <c r="I232" s="14">
        <v>4.33</v>
      </c>
      <c r="J232" s="16">
        <v>823</v>
      </c>
    </row>
    <row r="233" spans="1:10" ht="105.75" thickBot="1" x14ac:dyDescent="0.3">
      <c r="A233" s="7" t="s">
        <v>2411</v>
      </c>
      <c r="B233" s="8" t="s">
        <v>2412</v>
      </c>
      <c r="C233" s="9" t="s">
        <v>346</v>
      </c>
      <c r="D233" s="9"/>
      <c r="E233" s="10">
        <v>65.123699999999999</v>
      </c>
      <c r="F233" s="10">
        <v>-147.48759999999999</v>
      </c>
      <c r="G233" s="10">
        <v>210</v>
      </c>
      <c r="H233" s="10" t="s">
        <v>513</v>
      </c>
      <c r="I233" s="10">
        <v>-2</v>
      </c>
      <c r="J233" s="15">
        <v>275</v>
      </c>
    </row>
    <row r="234" spans="1:10" ht="45.75" thickBot="1" x14ac:dyDescent="0.3">
      <c r="A234" s="11" t="s">
        <v>2654</v>
      </c>
      <c r="B234" s="12" t="s">
        <v>2655</v>
      </c>
      <c r="C234" s="13" t="s">
        <v>346</v>
      </c>
      <c r="D234" s="13"/>
      <c r="E234" s="14">
        <v>31.908300000000001</v>
      </c>
      <c r="F234" s="14">
        <v>-110.8395</v>
      </c>
      <c r="G234" s="14">
        <v>950</v>
      </c>
      <c r="H234" s="14" t="s">
        <v>581</v>
      </c>
      <c r="I234" s="14">
        <v>22</v>
      </c>
      <c r="J234" s="16">
        <v>330</v>
      </c>
    </row>
    <row r="235" spans="1:10" ht="60.75" thickBot="1" x14ac:dyDescent="0.3">
      <c r="A235" s="7" t="s">
        <v>81</v>
      </c>
      <c r="B235" s="8" t="s">
        <v>2661</v>
      </c>
      <c r="C235" s="9" t="s">
        <v>346</v>
      </c>
      <c r="D235" s="9"/>
      <c r="E235" s="10">
        <v>31.789400000000001</v>
      </c>
      <c r="F235" s="10">
        <v>-110.82769999999999</v>
      </c>
      <c r="G235" s="10">
        <v>1291</v>
      </c>
      <c r="H235" s="10" t="s">
        <v>367</v>
      </c>
      <c r="I235" s="10">
        <v>17</v>
      </c>
      <c r="J235" s="15">
        <v>420</v>
      </c>
    </row>
    <row r="236" spans="1:10" ht="60.75" thickBot="1" x14ac:dyDescent="0.3">
      <c r="A236" s="11" t="s">
        <v>2665</v>
      </c>
      <c r="B236" s="12" t="s">
        <v>2666</v>
      </c>
      <c r="C236" s="13" t="s">
        <v>346</v>
      </c>
      <c r="D236" s="13"/>
      <c r="E236" s="14">
        <v>31.821400000000001</v>
      </c>
      <c r="F236" s="14">
        <v>-110.8661</v>
      </c>
      <c r="G236" s="14">
        <v>1120</v>
      </c>
      <c r="H236" s="14" t="s">
        <v>433</v>
      </c>
      <c r="I236" s="14">
        <v>17.920000000000002</v>
      </c>
      <c r="J236" s="16">
        <v>380</v>
      </c>
    </row>
    <row r="237" spans="1:10" ht="30.75" thickBot="1" x14ac:dyDescent="0.3">
      <c r="A237" s="7" t="s">
        <v>2614</v>
      </c>
      <c r="B237" s="8" t="s">
        <v>2615</v>
      </c>
      <c r="C237" s="9"/>
      <c r="D237" s="9" t="s">
        <v>346</v>
      </c>
      <c r="E237" s="10">
        <v>38.0366</v>
      </c>
      <c r="F237" s="10">
        <v>-121.754</v>
      </c>
      <c r="G237" s="10">
        <v>-5</v>
      </c>
      <c r="H237" s="10" t="s">
        <v>367</v>
      </c>
      <c r="I237" s="10">
        <v>15.6</v>
      </c>
      <c r="J237" s="15">
        <v>358</v>
      </c>
    </row>
    <row r="238" spans="1:10" ht="60.75" thickBot="1" x14ac:dyDescent="0.3">
      <c r="A238" s="11" t="s">
        <v>79</v>
      </c>
      <c r="B238" s="12" t="s">
        <v>2618</v>
      </c>
      <c r="C238" s="13"/>
      <c r="D238" s="13" t="s">
        <v>346</v>
      </c>
      <c r="E238" s="14">
        <v>38.036900000000003</v>
      </c>
      <c r="F238" s="14">
        <v>-121.7547</v>
      </c>
      <c r="G238" s="14">
        <v>-5</v>
      </c>
      <c r="H238" s="14" t="s">
        <v>367</v>
      </c>
      <c r="I238" s="14">
        <v>16.09</v>
      </c>
      <c r="J238" s="16">
        <v>311</v>
      </c>
    </row>
    <row r="239" spans="1:10" ht="60.75" thickBot="1" x14ac:dyDescent="0.3">
      <c r="A239" s="7" t="s">
        <v>2670</v>
      </c>
      <c r="B239" s="8" t="s">
        <v>2671</v>
      </c>
      <c r="C239" s="9"/>
      <c r="D239" s="9" t="s">
        <v>346</v>
      </c>
      <c r="E239" s="10">
        <v>38.200600000000001</v>
      </c>
      <c r="F239" s="10">
        <v>-122.0264</v>
      </c>
      <c r="G239" s="10">
        <v>8</v>
      </c>
      <c r="H239" s="10" t="s">
        <v>376</v>
      </c>
      <c r="I239" s="10">
        <v>15.1</v>
      </c>
      <c r="J239" s="15">
        <v>326</v>
      </c>
    </row>
    <row r="240" spans="1:10" ht="30.75" thickBot="1" x14ac:dyDescent="0.3">
      <c r="A240" s="11" t="s">
        <v>2690</v>
      </c>
      <c r="B240" s="12" t="s">
        <v>2691</v>
      </c>
      <c r="C240" s="13"/>
      <c r="D240" s="13" t="s">
        <v>346</v>
      </c>
      <c r="E240" s="14">
        <v>39.088200000000001</v>
      </c>
      <c r="F240" s="14">
        <v>-75.437200000000004</v>
      </c>
      <c r="G240" s="14">
        <v>6.7</v>
      </c>
      <c r="H240" s="14" t="s">
        <v>376</v>
      </c>
      <c r="I240" s="14">
        <v>13.5</v>
      </c>
      <c r="J240" s="16">
        <v>1121</v>
      </c>
    </row>
    <row r="241" spans="1:10" ht="15.75" thickBot="1" x14ac:dyDescent="0.3">
      <c r="A241" s="7" t="s">
        <v>2685</v>
      </c>
      <c r="B241" s="8" t="s">
        <v>2686</v>
      </c>
      <c r="C241" s="9" t="s">
        <v>346</v>
      </c>
      <c r="D241" s="9"/>
      <c r="E241" s="10">
        <v>41.396599999999999</v>
      </c>
      <c r="F241" s="10">
        <v>-106.80240000000001</v>
      </c>
      <c r="G241" s="10">
        <v>2069</v>
      </c>
      <c r="H241" s="10" t="s">
        <v>581</v>
      </c>
      <c r="I241" s="10">
        <v>5.0999999999999996</v>
      </c>
      <c r="J241" s="15"/>
    </row>
    <row r="242" spans="1:10" ht="45.75" thickBot="1" x14ac:dyDescent="0.3">
      <c r="A242" s="11" t="s">
        <v>83</v>
      </c>
      <c r="B242" s="12" t="s">
        <v>2714</v>
      </c>
      <c r="C242" s="13" t="s">
        <v>346</v>
      </c>
      <c r="D242" s="13"/>
      <c r="E242" s="14">
        <v>46.241999999999997</v>
      </c>
      <c r="F242" s="14">
        <v>-89.347700000000003</v>
      </c>
      <c r="G242" s="14">
        <v>540</v>
      </c>
      <c r="H242" s="14" t="s">
        <v>479</v>
      </c>
      <c r="I242" s="14">
        <v>3.81</v>
      </c>
      <c r="J242" s="16">
        <v>826</v>
      </c>
    </row>
    <row r="243" spans="1:10" ht="30.75" thickBot="1" x14ac:dyDescent="0.3">
      <c r="A243" s="7" t="s">
        <v>84</v>
      </c>
      <c r="B243" s="8" t="s">
        <v>2740</v>
      </c>
      <c r="C243" s="9" t="s">
        <v>346</v>
      </c>
      <c r="D243" s="9"/>
      <c r="E243" s="10">
        <v>38.430900000000001</v>
      </c>
      <c r="F243" s="10">
        <v>-120.96599999999999</v>
      </c>
      <c r="G243" s="10">
        <v>177</v>
      </c>
      <c r="H243" s="10" t="s">
        <v>433</v>
      </c>
      <c r="I243" s="10">
        <v>15.8</v>
      </c>
      <c r="J243" s="15">
        <v>559</v>
      </c>
    </row>
    <row r="244" spans="1:10" ht="60.75" thickBot="1" x14ac:dyDescent="0.3">
      <c r="A244" s="11" t="s">
        <v>85</v>
      </c>
      <c r="B244" s="12" t="s">
        <v>2755</v>
      </c>
      <c r="C244" s="13" t="s">
        <v>346</v>
      </c>
      <c r="D244" s="13" t="s">
        <v>346</v>
      </c>
      <c r="E244" s="14">
        <v>38.107399999999998</v>
      </c>
      <c r="F244" s="14">
        <v>-121.6469</v>
      </c>
      <c r="G244" s="14">
        <v>-5</v>
      </c>
      <c r="H244" s="14" t="s">
        <v>376</v>
      </c>
      <c r="I244" s="14">
        <v>15.5</v>
      </c>
      <c r="J244" s="16">
        <v>421</v>
      </c>
    </row>
    <row r="245" spans="1:10" ht="30.75" thickBot="1" x14ac:dyDescent="0.3">
      <c r="A245" s="7" t="s">
        <v>2759</v>
      </c>
      <c r="B245" s="8" t="s">
        <v>2760</v>
      </c>
      <c r="C245" s="9" t="s">
        <v>346</v>
      </c>
      <c r="D245" s="9"/>
      <c r="E245" s="10">
        <v>38.096899999999998</v>
      </c>
      <c r="F245" s="10">
        <v>-121.6365</v>
      </c>
      <c r="G245" s="10">
        <v>-5</v>
      </c>
      <c r="H245" s="10" t="s">
        <v>349</v>
      </c>
      <c r="I245" s="10">
        <v>15.5</v>
      </c>
      <c r="J245" s="15">
        <v>421</v>
      </c>
    </row>
    <row r="246" spans="1:10" ht="30.75" thickBot="1" x14ac:dyDescent="0.3">
      <c r="A246" s="11" t="s">
        <v>86</v>
      </c>
      <c r="B246" s="12" t="s">
        <v>2764</v>
      </c>
      <c r="C246" s="13" t="s">
        <v>346</v>
      </c>
      <c r="D246" s="13" t="s">
        <v>346</v>
      </c>
      <c r="E246" s="14">
        <v>38.115200000000002</v>
      </c>
      <c r="F246" s="14">
        <v>-121.6469</v>
      </c>
      <c r="G246" s="14">
        <v>-4</v>
      </c>
      <c r="H246" s="14" t="s">
        <v>349</v>
      </c>
      <c r="I246" s="14">
        <v>15.6</v>
      </c>
      <c r="J246" s="16">
        <v>421</v>
      </c>
    </row>
    <row r="247" spans="1:10" ht="45.75" thickBot="1" x14ac:dyDescent="0.3">
      <c r="A247" s="7" t="s">
        <v>87</v>
      </c>
      <c r="B247" s="8" t="s">
        <v>2769</v>
      </c>
      <c r="C247" s="9" t="s">
        <v>346</v>
      </c>
      <c r="D247" s="9" t="s">
        <v>346</v>
      </c>
      <c r="E247" s="10">
        <v>38.102699999999999</v>
      </c>
      <c r="F247" s="10">
        <v>-121.6413</v>
      </c>
      <c r="G247" s="10">
        <v>-5</v>
      </c>
      <c r="H247" s="10" t="s">
        <v>376</v>
      </c>
      <c r="I247" s="10">
        <v>15.6</v>
      </c>
      <c r="J247" s="15">
        <v>421</v>
      </c>
    </row>
    <row r="248" spans="1:10" ht="45.75" thickBot="1" x14ac:dyDescent="0.3">
      <c r="A248" s="11" t="s">
        <v>88</v>
      </c>
      <c r="B248" s="12" t="s">
        <v>2774</v>
      </c>
      <c r="C248" s="13"/>
      <c r="D248" s="13" t="s">
        <v>346</v>
      </c>
      <c r="E248" s="14">
        <v>38.107199999999999</v>
      </c>
      <c r="F248" s="14">
        <v>-121.6426</v>
      </c>
      <c r="G248" s="14">
        <v>-5</v>
      </c>
      <c r="H248" s="14" t="s">
        <v>376</v>
      </c>
      <c r="I248" s="14">
        <v>15.5</v>
      </c>
      <c r="J248" s="16">
        <v>421</v>
      </c>
    </row>
    <row r="249" spans="1:10" ht="30.75" thickBot="1" x14ac:dyDescent="0.3">
      <c r="A249" s="7" t="s">
        <v>2777</v>
      </c>
      <c r="B249" s="8" t="s">
        <v>2778</v>
      </c>
      <c r="C249" s="9" t="s">
        <v>346</v>
      </c>
      <c r="D249" s="9" t="s">
        <v>346</v>
      </c>
      <c r="E249" s="10">
        <v>38.108699999999999</v>
      </c>
      <c r="F249" s="10">
        <v>-121.65309999999999</v>
      </c>
      <c r="G249" s="10">
        <v>-7</v>
      </c>
      <c r="H249" s="10" t="s">
        <v>349</v>
      </c>
      <c r="I249" s="10">
        <v>15.6</v>
      </c>
      <c r="J249" s="15">
        <v>421</v>
      </c>
    </row>
    <row r="250" spans="1:10" ht="60.75" thickBot="1" x14ac:dyDescent="0.3">
      <c r="A250" s="11" t="s">
        <v>89</v>
      </c>
      <c r="B250" s="12" t="s">
        <v>2845</v>
      </c>
      <c r="C250" s="13" t="s">
        <v>346</v>
      </c>
      <c r="D250" s="13"/>
      <c r="E250" s="14">
        <v>45.559800000000003</v>
      </c>
      <c r="F250" s="14">
        <v>-84.713800000000006</v>
      </c>
      <c r="G250" s="14">
        <v>234</v>
      </c>
      <c r="H250" s="14" t="s">
        <v>428</v>
      </c>
      <c r="I250" s="14">
        <v>5.83</v>
      </c>
      <c r="J250" s="16">
        <v>803</v>
      </c>
    </row>
    <row r="251" spans="1:10" ht="45.75" thickBot="1" x14ac:dyDescent="0.3">
      <c r="A251" s="7" t="s">
        <v>90</v>
      </c>
      <c r="B251" s="8" t="s">
        <v>2848</v>
      </c>
      <c r="C251" s="9" t="s">
        <v>346</v>
      </c>
      <c r="D251" s="9"/>
      <c r="E251" s="10">
        <v>45.5625</v>
      </c>
      <c r="F251" s="10">
        <v>-84.697500000000005</v>
      </c>
      <c r="G251" s="10">
        <v>239</v>
      </c>
      <c r="H251" s="10" t="s">
        <v>428</v>
      </c>
      <c r="I251" s="10">
        <v>5.83</v>
      </c>
      <c r="J251" s="15">
        <v>803</v>
      </c>
    </row>
    <row r="252" spans="1:10" ht="75.75" thickBot="1" x14ac:dyDescent="0.3">
      <c r="A252" s="11" t="s">
        <v>2801</v>
      </c>
      <c r="B252" s="12" t="s">
        <v>2802</v>
      </c>
      <c r="C252" s="13"/>
      <c r="D252" s="13" t="s">
        <v>346</v>
      </c>
      <c r="E252" s="14">
        <v>64.866299999999995</v>
      </c>
      <c r="F252" s="14">
        <v>-147.85550000000001</v>
      </c>
      <c r="G252" s="14">
        <v>155</v>
      </c>
      <c r="H252" s="14" t="s">
        <v>513</v>
      </c>
      <c r="I252" s="14">
        <v>-2.9</v>
      </c>
      <c r="J252" s="16">
        <v>263</v>
      </c>
    </row>
    <row r="253" spans="1:10" ht="45.75" thickBot="1" x14ac:dyDescent="0.3">
      <c r="A253" s="7" t="s">
        <v>91</v>
      </c>
      <c r="B253" s="8" t="s">
        <v>2891</v>
      </c>
      <c r="C253" s="9" t="s">
        <v>346</v>
      </c>
      <c r="D253" s="9"/>
      <c r="E253" s="10">
        <v>38.4133</v>
      </c>
      <c r="F253" s="10">
        <v>-120.9508</v>
      </c>
      <c r="G253" s="10">
        <v>129</v>
      </c>
      <c r="H253" s="10" t="s">
        <v>367</v>
      </c>
      <c r="I253" s="10">
        <v>15.8</v>
      </c>
      <c r="J253" s="15">
        <v>559</v>
      </c>
    </row>
    <row r="254" spans="1:10" ht="30.75" thickBot="1" x14ac:dyDescent="0.3">
      <c r="A254" s="11" t="s">
        <v>2911</v>
      </c>
      <c r="B254" s="12" t="s">
        <v>2912</v>
      </c>
      <c r="C254" s="13" t="s">
        <v>346</v>
      </c>
      <c r="D254" s="13"/>
      <c r="E254" s="14">
        <v>45.805900000000001</v>
      </c>
      <c r="F254" s="14">
        <v>-90.079899999999995</v>
      </c>
      <c r="G254" s="14">
        <v>520</v>
      </c>
      <c r="H254" s="14" t="s">
        <v>428</v>
      </c>
      <c r="I254" s="14">
        <v>4.0199999999999996</v>
      </c>
      <c r="J254" s="16">
        <v>787</v>
      </c>
    </row>
    <row r="255" spans="1:10" ht="60.75" thickBot="1" x14ac:dyDescent="0.3">
      <c r="A255" s="7" t="s">
        <v>2985</v>
      </c>
      <c r="B255" s="8" t="s">
        <v>2986</v>
      </c>
      <c r="C255" s="9" t="s">
        <v>346</v>
      </c>
      <c r="D255" s="9" t="s">
        <v>346</v>
      </c>
      <c r="E255" s="10">
        <v>41.464599999999997</v>
      </c>
      <c r="F255" s="10">
        <v>-82.996200000000002</v>
      </c>
      <c r="G255" s="10">
        <v>175</v>
      </c>
      <c r="H255" s="10" t="s">
        <v>376</v>
      </c>
      <c r="I255" s="10">
        <v>10.1</v>
      </c>
      <c r="J255" s="15">
        <v>849</v>
      </c>
    </row>
    <row r="256" spans="1:10" ht="75.75" thickBot="1" x14ac:dyDescent="0.3">
      <c r="A256" s="11" t="s">
        <v>94</v>
      </c>
      <c r="B256" s="12" t="s">
        <v>2925</v>
      </c>
      <c r="C256" s="13" t="s">
        <v>346</v>
      </c>
      <c r="D256" s="13"/>
      <c r="E256" s="14">
        <v>31.7438</v>
      </c>
      <c r="F256" s="14">
        <v>-110.0522</v>
      </c>
      <c r="G256" s="14">
        <v>1370</v>
      </c>
      <c r="H256" s="14" t="s">
        <v>581</v>
      </c>
      <c r="I256" s="14">
        <v>17.600000000000001</v>
      </c>
      <c r="J256" s="16">
        <v>320</v>
      </c>
    </row>
    <row r="257" spans="1:10" ht="45.75" thickBot="1" x14ac:dyDescent="0.3">
      <c r="A257" s="7" t="s">
        <v>95</v>
      </c>
      <c r="B257" s="8" t="s">
        <v>2929</v>
      </c>
      <c r="C257" s="9" t="s">
        <v>346</v>
      </c>
      <c r="D257" s="9"/>
      <c r="E257" s="10">
        <v>46.6188</v>
      </c>
      <c r="F257" s="10">
        <v>-91.081400000000002</v>
      </c>
      <c r="G257" s="10">
        <v>349</v>
      </c>
      <c r="H257" s="10" t="s">
        <v>513</v>
      </c>
      <c r="I257" s="10"/>
      <c r="J257" s="15"/>
    </row>
    <row r="258" spans="1:10" ht="60.75" thickBot="1" x14ac:dyDescent="0.3">
      <c r="A258" s="11" t="s">
        <v>2933</v>
      </c>
      <c r="B258" s="12" t="s">
        <v>2934</v>
      </c>
      <c r="C258" s="13" t="s">
        <v>346</v>
      </c>
      <c r="D258" s="13"/>
      <c r="E258" s="14">
        <v>46.730499999999999</v>
      </c>
      <c r="F258" s="14">
        <v>-91.232900000000001</v>
      </c>
      <c r="G258" s="14">
        <v>352</v>
      </c>
      <c r="H258" s="14" t="s">
        <v>428</v>
      </c>
      <c r="I258" s="14"/>
      <c r="J258" s="16"/>
    </row>
    <row r="259" spans="1:10" ht="60.75" thickBot="1" x14ac:dyDescent="0.3">
      <c r="A259" s="7" t="s">
        <v>2938</v>
      </c>
      <c r="B259" s="8" t="s">
        <v>2939</v>
      </c>
      <c r="C259" s="9" t="s">
        <v>346</v>
      </c>
      <c r="D259" s="9"/>
      <c r="E259" s="10">
        <v>46.686900000000001</v>
      </c>
      <c r="F259" s="10">
        <v>-91.152799999999999</v>
      </c>
      <c r="G259" s="10">
        <v>395</v>
      </c>
      <c r="H259" s="10" t="s">
        <v>513</v>
      </c>
      <c r="I259" s="10"/>
      <c r="J259" s="15"/>
    </row>
    <row r="260" spans="1:10" ht="45.75" thickBot="1" x14ac:dyDescent="0.3">
      <c r="A260" s="11" t="s">
        <v>2941</v>
      </c>
      <c r="B260" s="12" t="s">
        <v>2942</v>
      </c>
      <c r="C260" s="13" t="s">
        <v>346</v>
      </c>
      <c r="D260" s="13"/>
      <c r="E260" s="14">
        <v>46.634700000000002</v>
      </c>
      <c r="F260" s="14">
        <v>-91.098699999999994</v>
      </c>
      <c r="G260" s="14">
        <v>411</v>
      </c>
      <c r="H260" s="14" t="s">
        <v>428</v>
      </c>
      <c r="I260" s="14"/>
      <c r="J260" s="16"/>
    </row>
    <row r="261" spans="1:10" ht="45.75" thickBot="1" x14ac:dyDescent="0.3">
      <c r="A261" s="7" t="s">
        <v>2945</v>
      </c>
      <c r="B261" s="8" t="s">
        <v>2946</v>
      </c>
      <c r="C261" s="9" t="s">
        <v>346</v>
      </c>
      <c r="D261" s="9"/>
      <c r="E261" s="10">
        <v>46.7393</v>
      </c>
      <c r="F261" s="10">
        <v>-91.166300000000007</v>
      </c>
      <c r="G261" s="10">
        <v>352</v>
      </c>
      <c r="H261" s="10" t="s">
        <v>513</v>
      </c>
      <c r="I261" s="10"/>
      <c r="J261" s="15"/>
    </row>
    <row r="262" spans="1:10" ht="60.75" thickBot="1" x14ac:dyDescent="0.3">
      <c r="A262" s="11" t="s">
        <v>2949</v>
      </c>
      <c r="B262" s="12" t="s">
        <v>2950</v>
      </c>
      <c r="C262" s="13" t="s">
        <v>346</v>
      </c>
      <c r="D262" s="13"/>
      <c r="E262" s="14">
        <v>46.653100000000002</v>
      </c>
      <c r="F262" s="14">
        <v>-91.085800000000006</v>
      </c>
      <c r="G262" s="14">
        <v>353</v>
      </c>
      <c r="H262" s="14" t="s">
        <v>513</v>
      </c>
      <c r="I262" s="14"/>
      <c r="J262" s="16"/>
    </row>
    <row r="263" spans="1:10" ht="45.75" thickBot="1" x14ac:dyDescent="0.3">
      <c r="A263" s="7" t="s">
        <v>2953</v>
      </c>
      <c r="B263" s="8" t="s">
        <v>2954</v>
      </c>
      <c r="C263" s="9" t="s">
        <v>346</v>
      </c>
      <c r="D263" s="9"/>
      <c r="E263" s="10">
        <v>46.624899999999997</v>
      </c>
      <c r="F263" s="10">
        <v>-91.298199999999994</v>
      </c>
      <c r="G263" s="10">
        <v>371</v>
      </c>
      <c r="H263" s="10" t="s">
        <v>581</v>
      </c>
      <c r="I263" s="10"/>
      <c r="J263" s="15"/>
    </row>
    <row r="264" spans="1:10" ht="45.75" thickBot="1" x14ac:dyDescent="0.3">
      <c r="A264" s="11" t="s">
        <v>2957</v>
      </c>
      <c r="B264" s="12" t="s">
        <v>2958</v>
      </c>
      <c r="C264" s="13" t="s">
        <v>346</v>
      </c>
      <c r="D264" s="13"/>
      <c r="E264" s="14">
        <v>46.649099999999997</v>
      </c>
      <c r="F264" s="14">
        <v>-91.069299999999998</v>
      </c>
      <c r="G264" s="14">
        <v>335</v>
      </c>
      <c r="H264" s="14" t="s">
        <v>581</v>
      </c>
      <c r="I264" s="14"/>
      <c r="J264" s="16"/>
    </row>
    <row r="265" spans="1:10" ht="75.75" thickBot="1" x14ac:dyDescent="0.3">
      <c r="A265" s="7" t="s">
        <v>2961</v>
      </c>
      <c r="B265" s="8" t="s">
        <v>2962</v>
      </c>
      <c r="C265" s="9" t="s">
        <v>346</v>
      </c>
      <c r="D265" s="9"/>
      <c r="E265" s="10">
        <v>46.722299999999997</v>
      </c>
      <c r="F265" s="10">
        <v>-91.252399999999994</v>
      </c>
      <c r="G265" s="10">
        <v>348</v>
      </c>
      <c r="H265" s="10" t="s">
        <v>428</v>
      </c>
      <c r="I265" s="10"/>
      <c r="J265" s="15"/>
    </row>
    <row r="266" spans="1:10" ht="45.75" thickBot="1" x14ac:dyDescent="0.3">
      <c r="A266" s="11" t="s">
        <v>2965</v>
      </c>
      <c r="B266" s="12" t="s">
        <v>2966</v>
      </c>
      <c r="C266" s="13" t="s">
        <v>346</v>
      </c>
      <c r="D266" s="13"/>
      <c r="E266" s="14">
        <v>46.738500000000002</v>
      </c>
      <c r="F266" s="14">
        <v>-91.074600000000004</v>
      </c>
      <c r="G266" s="14">
        <v>350</v>
      </c>
      <c r="H266" s="14" t="s">
        <v>513</v>
      </c>
      <c r="I266" s="14"/>
      <c r="J266" s="16"/>
    </row>
    <row r="267" spans="1:10" ht="75.75" thickBot="1" x14ac:dyDescent="0.3">
      <c r="A267" s="7" t="s">
        <v>97</v>
      </c>
      <c r="B267" s="8" t="s">
        <v>2972</v>
      </c>
      <c r="C267" s="9" t="s">
        <v>346</v>
      </c>
      <c r="D267" s="9"/>
      <c r="E267" s="10">
        <v>31.736499999999999</v>
      </c>
      <c r="F267" s="10">
        <v>-109.9419</v>
      </c>
      <c r="G267" s="10">
        <v>1531</v>
      </c>
      <c r="H267" s="10" t="s">
        <v>367</v>
      </c>
      <c r="I267" s="10">
        <v>15.64</v>
      </c>
      <c r="J267" s="15">
        <v>407</v>
      </c>
    </row>
    <row r="268" spans="1:10" ht="15.75" thickBot="1" x14ac:dyDescent="0.3">
      <c r="A268" s="11" t="s">
        <v>3407</v>
      </c>
      <c r="B268" s="12" t="s">
        <v>3408</v>
      </c>
      <c r="C268" s="13" t="s">
        <v>3385</v>
      </c>
      <c r="D268" s="13"/>
      <c r="E268" s="14">
        <v>-25.0197</v>
      </c>
      <c r="F268" s="14">
        <v>31.4969</v>
      </c>
      <c r="G268" s="14">
        <v>359</v>
      </c>
      <c r="H268" s="14" t="s">
        <v>1436</v>
      </c>
      <c r="I268" s="14">
        <v>21.9</v>
      </c>
      <c r="J268" s="16">
        <v>547</v>
      </c>
    </row>
    <row r="269" spans="1:10" ht="15.75" thickBot="1" x14ac:dyDescent="0.3">
      <c r="A269" s="17" t="s">
        <v>3409</v>
      </c>
      <c r="B269" s="18" t="s">
        <v>3410</v>
      </c>
      <c r="C269" s="19" t="s">
        <v>346</v>
      </c>
      <c r="D269" s="19"/>
      <c r="E269" s="20">
        <v>-15.4391</v>
      </c>
      <c r="F269" s="20">
        <v>23.252500000000001</v>
      </c>
      <c r="G269" s="20">
        <v>1053</v>
      </c>
      <c r="H269" s="20" t="s">
        <v>428</v>
      </c>
      <c r="I269" s="20">
        <v>25</v>
      </c>
      <c r="J269" s="21">
        <v>945</v>
      </c>
    </row>
  </sheetData>
  <hyperlinks>
    <hyperlink ref="A3" r:id="rId1" display="https://fluxnet.org/sites/siteinfo/AR-SLu" xr:uid="{5C46E68E-0B45-4C4A-B06B-BBD6968917DE}"/>
    <hyperlink ref="B3" r:id="rId2" display="https://fluxnet.org/sites/siteinfo/AR-SLu" xr:uid="{77B6D896-FD5D-4A5E-881E-2EEFBF4FBD7B}"/>
    <hyperlink ref="A4" r:id="rId3" display="https://fluxnet.org/sites/siteinfo/AR-Vir" xr:uid="{439F48B1-A631-4CE1-9648-21D4E7D12FA6}"/>
    <hyperlink ref="B4" r:id="rId4" display="https://fluxnet.org/sites/siteinfo/AR-Vir" xr:uid="{0963E4F7-8C35-453E-9787-7C6F46E78D1F}"/>
    <hyperlink ref="A5" r:id="rId5" display="https://fluxnet.org/sites/siteinfo/AT-Neu" xr:uid="{A2A81800-F94F-444C-ACC9-6D72A614CEFB}"/>
    <hyperlink ref="B5" r:id="rId6" display="https://fluxnet.org/sites/siteinfo/AT-Neu" xr:uid="{F02ADA97-F76A-411D-B89E-65D4033A920E}"/>
    <hyperlink ref="A6" r:id="rId7" display="https://fluxnet.org/sites/siteinfo/AU-ASM" xr:uid="{95DB1C28-F1C7-4DBE-829D-CF0B2B1073D4}"/>
    <hyperlink ref="B6" r:id="rId8" display="https://fluxnet.org/sites/siteinfo/AU-ASM" xr:uid="{E591A702-C040-41C4-B657-2335D904BC44}"/>
    <hyperlink ref="A7" r:id="rId9" display="https://fluxnet.org/sites/siteinfo/AU-Ade" xr:uid="{9E6E27B2-2D27-45B8-9202-15FBD7AB6552}"/>
    <hyperlink ref="B7" r:id="rId10" display="https://fluxnet.org/sites/siteinfo/AU-Ade" xr:uid="{A321558D-E9DE-4814-86ED-A1B5080846F9}"/>
    <hyperlink ref="A8" r:id="rId11" display="https://fluxnet.org/sites/siteinfo/AU-Cpr" xr:uid="{C729F136-971E-434E-A071-048C59DADF6E}"/>
    <hyperlink ref="B8" r:id="rId12" display="https://fluxnet.org/sites/siteinfo/AU-Cpr" xr:uid="{3BD6CF51-3B0D-487B-B7F6-AF2802261303}"/>
    <hyperlink ref="A9" r:id="rId13" display="https://fluxnet.org/sites/siteinfo/AU-Cum" xr:uid="{BB96F40D-E98D-40B2-8568-CC34916063C0}"/>
    <hyperlink ref="B9" r:id="rId14" display="https://fluxnet.org/sites/siteinfo/AU-Cum" xr:uid="{17640B85-4A1D-4003-BE4B-1DC422AB609D}"/>
    <hyperlink ref="A10" r:id="rId15" display="https://fluxnet.org/sites/siteinfo/AU-DaP" xr:uid="{E3A5D442-705A-48CD-A491-ED765ED4779A}"/>
    <hyperlink ref="B10" r:id="rId16" display="https://fluxnet.org/sites/siteinfo/AU-DaP" xr:uid="{A402C03B-B91B-47C0-B5A1-F3062651A89A}"/>
    <hyperlink ref="A11" r:id="rId17" display="https://fluxnet.org/sites/siteinfo/AU-DaS" xr:uid="{E6E0F668-C9DA-4353-8116-14C5F09ED102}"/>
    <hyperlink ref="B11" r:id="rId18" display="https://fluxnet.org/sites/siteinfo/AU-DaS" xr:uid="{DADFC49D-4148-47EF-85CC-F280DCC532DD}"/>
    <hyperlink ref="A12" r:id="rId19" display="https://fluxnet.org/sites/siteinfo/AU-Dry" xr:uid="{B8880FED-CFCB-4D01-8F40-CC69030A078B}"/>
    <hyperlink ref="B12" r:id="rId20" display="https://fluxnet.org/sites/siteinfo/AU-Dry" xr:uid="{FC8B3F16-F25E-4169-8720-4BE9568BFE5C}"/>
    <hyperlink ref="A13" r:id="rId21" display="https://fluxnet.org/sites/siteinfo/AU-Emr" xr:uid="{38AD906C-451C-48A7-A47B-36D868306E86}"/>
    <hyperlink ref="B13" r:id="rId22" display="https://fluxnet.org/sites/siteinfo/AU-Emr" xr:uid="{1C5CE983-4510-4B38-8FD3-C951E3469AE1}"/>
    <hyperlink ref="A14" r:id="rId23" display="https://fluxnet.org/sites/siteinfo/AU-Fog" xr:uid="{D344A9FB-A14A-41D4-96DF-0DDAB9F94217}"/>
    <hyperlink ref="B14" r:id="rId24" display="https://fluxnet.org/sites/siteinfo/AU-Fog" xr:uid="{E83E31AE-BA98-47DD-B5D1-D952A478F702}"/>
    <hyperlink ref="A15" r:id="rId25" display="https://fluxnet.org/sites/siteinfo/AU-GWW" xr:uid="{61439958-8331-425C-B743-E011382C2ED8}"/>
    <hyperlink ref="B15" r:id="rId26" display="https://fluxnet.org/sites/siteinfo/AU-GWW" xr:uid="{61FBAE74-8618-47EA-B521-412EAD999E00}"/>
    <hyperlink ref="A16" r:id="rId27" display="https://fluxnet.org/sites/siteinfo/AU-Gin" xr:uid="{7C93C7D3-F443-4355-B932-C1A1BBAD3AE8}"/>
    <hyperlink ref="B16" r:id="rId28" display="https://fluxnet.org/sites/siteinfo/AU-Gin" xr:uid="{18774868-17DB-4D7A-847F-4CA2DDE5FD28}"/>
    <hyperlink ref="A17" r:id="rId29" display="https://fluxnet.org/sites/siteinfo/AU-How" xr:uid="{C3EDBB58-5264-4A3C-B9E0-E0F0FC9B155B}"/>
    <hyperlink ref="B17" r:id="rId30" display="https://fluxnet.org/sites/siteinfo/AU-How" xr:uid="{D10FDD9B-EB1C-431A-BE93-9204E1C859D2}"/>
    <hyperlink ref="A18" r:id="rId31" display="https://fluxnet.org/sites/siteinfo/AU-Lox" xr:uid="{DF5DC621-44AD-413B-AB1C-E77F9452A25B}"/>
    <hyperlink ref="B18" r:id="rId32" display="https://fluxnet.org/sites/siteinfo/AU-Lox" xr:uid="{115EDAED-F492-4608-82A2-FE9EF9D3EE8F}"/>
    <hyperlink ref="A19" r:id="rId33" display="https://fluxnet.org/sites/siteinfo/AU-RDF" xr:uid="{48D116AF-1AC0-49ED-BCEB-E8A8982BD30D}"/>
    <hyperlink ref="B19" r:id="rId34" display="https://fluxnet.org/sites/siteinfo/AU-RDF" xr:uid="{5FBC0A1C-6249-4C73-AEE5-8B6574923B60}"/>
    <hyperlink ref="A20" r:id="rId35" display="https://fluxnet.org/sites/siteinfo/AU-Rig" xr:uid="{AA0CC969-6309-4008-80D6-C810FAF20799}"/>
    <hyperlink ref="B20" r:id="rId36" display="https://fluxnet.org/sites/siteinfo/AU-Rig" xr:uid="{FEBF0F11-0E78-4916-B21A-6B07C7078B3B}"/>
    <hyperlink ref="A21" r:id="rId37" display="https://fluxnet.org/sites/siteinfo/AU-Rob" xr:uid="{133E340D-9A44-4156-93CD-B1D45999DE5D}"/>
    <hyperlink ref="B21" r:id="rId38" display="https://fluxnet.org/sites/siteinfo/AU-Rob" xr:uid="{20E39E79-3D2F-4F6F-9541-C58795BE52A9}"/>
    <hyperlink ref="A22" r:id="rId39" display="https://fluxnet.org/sites/siteinfo/AU-Stp" xr:uid="{868C85C7-88E2-4525-8708-58C117E5ADEF}"/>
    <hyperlink ref="B22" r:id="rId40" display="https://fluxnet.org/sites/siteinfo/AU-Stp" xr:uid="{2F31043B-78BA-480A-8A48-A35BA3D4D7D6}"/>
    <hyperlink ref="A23" r:id="rId41" display="https://fluxnet.org/sites/siteinfo/AU-TTE" xr:uid="{CD28EAB6-5A19-41E4-A5A1-E2C3E8A713AC}"/>
    <hyperlink ref="B23" r:id="rId42" display="https://fluxnet.org/sites/siteinfo/AU-TTE" xr:uid="{875773E0-AE6A-481A-94F1-7AAACA4AE775}"/>
    <hyperlink ref="A24" r:id="rId43" display="https://fluxnet.org/sites/siteinfo/AU-Tum" xr:uid="{41078E75-668D-4C0B-BE9E-3F67069A6CC1}"/>
    <hyperlink ref="B24" r:id="rId44" display="https://fluxnet.org/sites/siteinfo/AU-Tum" xr:uid="{187E7946-6376-47D6-BB55-33A0FD88638E}"/>
    <hyperlink ref="A25" r:id="rId45" display="https://fluxnet.org/sites/siteinfo/AU-Wac" xr:uid="{CBE2A1D8-C7D1-473D-BFF2-BBE152429929}"/>
    <hyperlink ref="B25" r:id="rId46" display="https://fluxnet.org/sites/siteinfo/AU-Wac" xr:uid="{03CFDB1E-F7C8-439A-9728-2C6B3B20AEDB}"/>
    <hyperlink ref="A26" r:id="rId47" display="https://fluxnet.org/sites/siteinfo/AU-Whr" xr:uid="{CECC117C-AB48-403C-A9EA-AA88DC663917}"/>
    <hyperlink ref="B26" r:id="rId48" display="https://fluxnet.org/sites/siteinfo/AU-Whr" xr:uid="{F18DCD2C-1246-4531-B1F5-9C0B5145D1AB}"/>
    <hyperlink ref="A27" r:id="rId49" display="https://fluxnet.org/sites/siteinfo/AU-Wom" xr:uid="{528AA340-9501-4124-A1AF-AE7B717064E8}"/>
    <hyperlink ref="B27" r:id="rId50" display="https://fluxnet.org/sites/siteinfo/AU-Wom" xr:uid="{792627EE-7D5A-4986-906F-C4D00A967C3A}"/>
    <hyperlink ref="A28" r:id="rId51" display="https://fluxnet.org/sites/siteinfo/AU-Ync" xr:uid="{1F380E88-2A85-457A-BA07-FC37A672949F}"/>
    <hyperlink ref="B28" r:id="rId52" display="https://fluxnet.org/sites/siteinfo/AU-Ync" xr:uid="{B1DCB959-DF78-41AF-AE52-A50616F3D814}"/>
    <hyperlink ref="A29" r:id="rId53" display="https://fluxnet.org/sites/siteinfo/BE-Bra" xr:uid="{92F44609-2731-4810-9F5A-E673781422E8}"/>
    <hyperlink ref="B29" r:id="rId54" display="https://fluxnet.org/sites/siteinfo/BE-Bra" xr:uid="{70F255BA-68CF-4C77-91E3-01D9E201C7D0}"/>
    <hyperlink ref="A30" r:id="rId55" display="https://fluxnet.org/sites/siteinfo/BE-Lon" xr:uid="{39C5CBC9-B7D7-477E-AD6B-818A22678CD1}"/>
    <hyperlink ref="B30" r:id="rId56" display="https://fluxnet.org/sites/siteinfo/BE-Lon" xr:uid="{20A7F665-DBE3-4845-882D-FD992BCEBFCA}"/>
    <hyperlink ref="A31" r:id="rId57" display="https://fluxnet.org/sites/siteinfo/BE-Vie" xr:uid="{48F07761-4FBF-495E-9FD2-11508D64A834}"/>
    <hyperlink ref="B31" r:id="rId58" display="https://fluxnet.org/sites/siteinfo/BE-Vie" xr:uid="{E931883C-EB7B-48D6-9B5E-45DE1AAC02F0}"/>
    <hyperlink ref="A32" r:id="rId59" display="https://fluxnet.org/sites/siteinfo/BR-Npw" xr:uid="{A54C2871-EF53-45D9-9B8D-E1C4021B8467}"/>
    <hyperlink ref="B32" r:id="rId60" display="https://fluxnet.org/sites/siteinfo/BR-Npw" xr:uid="{E3E247C1-9D63-40FA-A496-10865BAB07C9}"/>
    <hyperlink ref="A33" r:id="rId61" display="https://fluxnet.org/sites/siteinfo/BR-Sa1" xr:uid="{1791BAFA-414B-41FB-8D58-F1F91F47F779}"/>
    <hyperlink ref="B33" r:id="rId62" display="https://fluxnet.org/sites/siteinfo/BR-Sa1" xr:uid="{BBCDEA6B-6649-4477-8A0B-402F2012214F}"/>
    <hyperlink ref="A34" r:id="rId63" display="https://fluxnet.org/sites/siteinfo/BR-Sa3" xr:uid="{BEFDA24A-0ACE-4D75-9F4F-8D4700040600}"/>
    <hyperlink ref="B34" r:id="rId64" display="https://fluxnet.org/sites/siteinfo/BR-Sa3" xr:uid="{F85F8687-6966-4452-A29F-18A2BBCF5799}"/>
    <hyperlink ref="A35" r:id="rId65" display="https://fluxnet.org/sites/siteinfo/BW-Gum" xr:uid="{74E24895-0B53-4D58-BA87-99E98DB0022F}"/>
    <hyperlink ref="B35" r:id="rId66" display="https://fluxnet.org/sites/siteinfo/BW-Gum" xr:uid="{307F6AEB-75B7-4A49-B6BB-0FAF441964D2}"/>
    <hyperlink ref="A36" r:id="rId67" display="https://fluxnet.org/sites/siteinfo/BW-Nxr" xr:uid="{022A840F-F3BC-49F1-83DC-24168808A163}"/>
    <hyperlink ref="B36" r:id="rId68" display="https://fluxnet.org/sites/siteinfo/BW-Nxr" xr:uid="{76930106-6598-4F1D-9DEA-72452E38D033}"/>
    <hyperlink ref="A37" r:id="rId69" display="https://fluxnet.org/sites/siteinfo/CA-Gro" xr:uid="{4F3FB9A2-44E1-482F-9C4C-2259E7812F89}"/>
    <hyperlink ref="B37" r:id="rId70" display="https://fluxnet.org/sites/siteinfo/CA-Gro" xr:uid="{4F64CEF5-8859-446B-9A1A-5220B1A76A21}"/>
    <hyperlink ref="A38" r:id="rId71" display="https://fluxnet.org/sites/siteinfo/CA-Man" xr:uid="{232DEA29-7B9D-4DB7-B3AC-9199279C1426}"/>
    <hyperlink ref="B38" r:id="rId72" display="https://fluxnet.org/sites/siteinfo/CA-Man" xr:uid="{AD1F798B-8D0C-41A0-BCF5-14583FE7EB66}"/>
    <hyperlink ref="A39" r:id="rId73" display="https://fluxnet.org/sites/siteinfo/CA-NS1" xr:uid="{DF182309-51FC-4CB0-BCA0-308E1FBD803C}"/>
    <hyperlink ref="B39" r:id="rId74" display="https://fluxnet.org/sites/siteinfo/CA-NS1" xr:uid="{D8FA22DC-C3E1-4C77-8572-651028F1FF91}"/>
    <hyperlink ref="A40" r:id="rId75" display="https://fluxnet.org/sites/siteinfo/CA-NS2" xr:uid="{9F732703-D0C5-4932-842A-7BB1831F0C09}"/>
    <hyperlink ref="B40" r:id="rId76" display="https://fluxnet.org/sites/siteinfo/CA-NS2" xr:uid="{83891089-3B06-4B49-80D8-88216C752124}"/>
    <hyperlink ref="A41" r:id="rId77" display="https://fluxnet.org/sites/siteinfo/CA-NS3" xr:uid="{142EF656-FC2C-4BE5-841F-A03755FD019D}"/>
    <hyperlink ref="B41" r:id="rId78" display="https://fluxnet.org/sites/siteinfo/CA-NS3" xr:uid="{56A00265-9D09-4B21-8D05-97F31E6DDA91}"/>
    <hyperlink ref="A42" r:id="rId79" display="https://fluxnet.org/sites/siteinfo/CA-NS4" xr:uid="{6544E5A9-69A6-41EF-AABB-D2FE25921550}"/>
    <hyperlink ref="B42" r:id="rId80" display="https://fluxnet.org/sites/siteinfo/CA-NS4" xr:uid="{B4D6A2FF-DB88-481D-8175-14596D94F7C8}"/>
    <hyperlink ref="A43" r:id="rId81" display="https://fluxnet.org/sites/siteinfo/CA-NS5" xr:uid="{19820EBA-5D5A-47EF-AB63-CC26BD87A204}"/>
    <hyperlink ref="B43" r:id="rId82" display="https://fluxnet.org/sites/siteinfo/CA-NS5" xr:uid="{5A920E5D-5D41-4FE4-8D95-DB7C4C0C83CC}"/>
    <hyperlink ref="A44" r:id="rId83" display="https://fluxnet.org/sites/siteinfo/CA-NS6" xr:uid="{FAD996E0-2614-4E08-89DA-FE559149E761}"/>
    <hyperlink ref="B44" r:id="rId84" display="https://fluxnet.org/sites/siteinfo/CA-NS6" xr:uid="{CCADBE6E-9DB4-4199-9986-5602B8F61F91}"/>
    <hyperlink ref="A45" r:id="rId85" display="https://fluxnet.org/sites/siteinfo/CA-NS7" xr:uid="{ADB9D839-6905-487A-BE90-B199DD64DA94}"/>
    <hyperlink ref="B45" r:id="rId86" display="https://fluxnet.org/sites/siteinfo/CA-NS7" xr:uid="{58E44F99-7E3F-4AAB-8908-A68C2FA141F7}"/>
    <hyperlink ref="A46" r:id="rId87" display="https://fluxnet.org/sites/siteinfo/CA-Oas" xr:uid="{934E5FFA-0684-4530-8BFD-DEE4B1887E2D}"/>
    <hyperlink ref="B46" r:id="rId88" display="https://fluxnet.org/sites/siteinfo/CA-Oas" xr:uid="{FF4F65EB-3387-4FDE-87A0-325857ABCCD0}"/>
    <hyperlink ref="A47" r:id="rId89" display="https://fluxnet.org/sites/siteinfo/CA-Obs" xr:uid="{4EC79109-BA02-4786-AEAA-6B61A7E921EA}"/>
    <hyperlink ref="B47" r:id="rId90" display="https://fluxnet.org/sites/siteinfo/CA-Obs" xr:uid="{186CA709-EC8C-4682-9A92-5608D5CB1D9B}"/>
    <hyperlink ref="A48" r:id="rId91" display="https://fluxnet.org/sites/siteinfo/CA-Qfo" xr:uid="{89FBD00B-39C1-452A-8C8F-B0D415017625}"/>
    <hyperlink ref="B48" r:id="rId92" display="https://fluxnet.org/sites/siteinfo/CA-Qfo" xr:uid="{86E126C5-C794-4918-8EB7-DCBEF8171C5C}"/>
    <hyperlink ref="A49" r:id="rId93" display="https://fluxnet.org/sites/siteinfo/CA-SCB" xr:uid="{5A206E80-ACD2-4945-9141-7FC1C795B66C}"/>
    <hyperlink ref="B49" r:id="rId94" display="https://fluxnet.org/sites/siteinfo/CA-SCB" xr:uid="{FE3B2D80-6929-427D-946F-013FD9E98B61}"/>
    <hyperlink ref="A50" r:id="rId95" display="https://fluxnet.org/sites/siteinfo/CA-SCC" xr:uid="{D997BCC5-0679-4FC7-8476-992AAA5946EB}"/>
    <hyperlink ref="B50" r:id="rId96" display="https://fluxnet.org/sites/siteinfo/CA-SCC" xr:uid="{85D46831-B183-4A65-B4F3-A4D6BBC4D3A2}"/>
    <hyperlink ref="A51" r:id="rId97" display="https://fluxnet.org/sites/siteinfo/CA-SF1" xr:uid="{E351ECF5-2FA5-4AE9-B856-98C843EBC4B1}"/>
    <hyperlink ref="B51" r:id="rId98" display="https://fluxnet.org/sites/siteinfo/CA-SF1" xr:uid="{A7EBFECD-6B59-401D-B5F4-5A6B791951E9}"/>
    <hyperlink ref="A52" r:id="rId99" display="https://fluxnet.org/sites/siteinfo/CA-SF2" xr:uid="{84E7B744-F8D2-4CBD-8306-BC04D77AECD3}"/>
    <hyperlink ref="B52" r:id="rId100" display="https://fluxnet.org/sites/siteinfo/CA-SF2" xr:uid="{BA8996E3-8A3D-44D2-BDB2-C2B32FE4AD13}"/>
    <hyperlink ref="A53" r:id="rId101" display="https://fluxnet.org/sites/siteinfo/CA-SF3" xr:uid="{C7E50D1F-8A8D-4EE9-82B0-9E5F1982E766}"/>
    <hyperlink ref="B53" r:id="rId102" display="https://fluxnet.org/sites/siteinfo/CA-SF3" xr:uid="{92A09CE2-9B45-4BB4-A591-0BD6D8C420E0}"/>
    <hyperlink ref="A54" r:id="rId103" display="https://fluxnet.org/sites/siteinfo/CA-TP1" xr:uid="{F0C67AA8-C081-4768-BB66-ECD1B2B84C94}"/>
    <hyperlink ref="B54" r:id="rId104" display="https://fluxnet.org/sites/siteinfo/CA-TP1" xr:uid="{88154817-E79B-4143-85A4-9DA140C7B5E1}"/>
    <hyperlink ref="A55" r:id="rId105" display="https://fluxnet.org/sites/siteinfo/CA-TP2" xr:uid="{C943C42A-C8CF-457F-AB4D-FC8AFA91705D}"/>
    <hyperlink ref="B55" r:id="rId106" display="https://fluxnet.org/sites/siteinfo/CA-TP2" xr:uid="{2487C488-5147-41A4-AD00-D7F5B3278BFC}"/>
    <hyperlink ref="A56" r:id="rId107" display="https://fluxnet.org/sites/siteinfo/CA-TP3" xr:uid="{F723629B-DABB-4E41-9AEA-816177CFD538}"/>
    <hyperlink ref="B56" r:id="rId108" display="https://fluxnet.org/sites/siteinfo/CA-TP3" xr:uid="{45C478C1-E3A3-41BF-A450-649CBC7B532B}"/>
    <hyperlink ref="A57" r:id="rId109" display="https://fluxnet.org/sites/siteinfo/CA-TP4" xr:uid="{71BA39AB-55DB-4CD6-88B9-95CE77965032}"/>
    <hyperlink ref="B57" r:id="rId110" display="https://fluxnet.org/sites/siteinfo/CA-TP4" xr:uid="{8BAE0294-5C97-4B34-8F7C-93C37395354D}"/>
    <hyperlink ref="A58" r:id="rId111" display="https://fluxnet.org/sites/siteinfo/CA-TPD" xr:uid="{CAE707DC-1895-4559-A05B-DA5F654419E9}"/>
    <hyperlink ref="B58" r:id="rId112" display="https://fluxnet.org/sites/siteinfo/CA-TPD" xr:uid="{C0E47A05-235B-46C3-81A7-4CD9DA8631BA}"/>
    <hyperlink ref="A59" r:id="rId113" display="https://fluxnet.org/sites/siteinfo/CG-Tch" xr:uid="{8C4F6D48-2B2D-4D4A-9624-3611D3E3FAB0}"/>
    <hyperlink ref="B59" r:id="rId114" display="https://fluxnet.org/sites/siteinfo/CG-Tch" xr:uid="{05DE83BF-158D-48D5-AA00-783960D39298}"/>
    <hyperlink ref="A60" r:id="rId115" display="https://fluxnet.org/sites/siteinfo/CH-Cha" xr:uid="{A53AEBC1-3538-42B6-8949-4A2068BD3569}"/>
    <hyperlink ref="B60" r:id="rId116" display="https://fluxnet.org/sites/siteinfo/CH-Cha" xr:uid="{8536FDF4-E1E2-4F62-A3DA-84512BB4BB29}"/>
    <hyperlink ref="A61" r:id="rId117" display="https://fluxnet.org/sites/siteinfo/CH-Dav" xr:uid="{E15F6F4E-92A4-4FDC-BD31-D1A6505D112A}"/>
    <hyperlink ref="B61" r:id="rId118" display="https://fluxnet.org/sites/siteinfo/CH-Dav" xr:uid="{817537DC-C802-4428-8544-0B5E698DF7DA}"/>
    <hyperlink ref="A62" r:id="rId119" display="https://fluxnet.org/sites/siteinfo/CH-Fru" xr:uid="{DF76C6C5-7E7F-45F3-BED6-FC4A4A7BA765}"/>
    <hyperlink ref="B62" r:id="rId120" display="https://fluxnet.org/sites/siteinfo/CH-Fru" xr:uid="{AC30BDBA-8302-4E99-BE89-176FDC11C959}"/>
    <hyperlink ref="A63" r:id="rId121" display="https://fluxnet.org/sites/siteinfo/CH-Lae" xr:uid="{C22AC509-681A-4B2B-8D0E-61A829B644C7}"/>
    <hyperlink ref="B63" r:id="rId122" display="https://fluxnet.org/sites/siteinfo/CH-Lae" xr:uid="{090DBF02-49D8-4D49-8A6B-754564255A10}"/>
    <hyperlink ref="A64" r:id="rId123" display="https://fluxnet.org/sites/siteinfo/CH-Oe1" xr:uid="{E77C2343-5494-483D-B899-30CE931001A6}"/>
    <hyperlink ref="B64" r:id="rId124" display="https://fluxnet.org/sites/siteinfo/CH-Oe1" xr:uid="{430F9AFD-5216-4F6E-B33E-7DF7A3C7A2BB}"/>
    <hyperlink ref="A65" r:id="rId125" display="https://fluxnet.org/sites/siteinfo/CH-Oe2" xr:uid="{C85A6F72-3D79-4371-A72A-DE010D7E46E1}"/>
    <hyperlink ref="B65" r:id="rId126" display="https://fluxnet.org/sites/siteinfo/CH-Oe2" xr:uid="{E2E681E5-C5CE-48F9-9A08-C05D2D7BAAC6}"/>
    <hyperlink ref="A66" r:id="rId127" display="https://fluxnet.org/sites/siteinfo/CN-Cha" xr:uid="{0396E6B0-2DFC-4D8B-9829-2C4B7124F187}"/>
    <hyperlink ref="B66" r:id="rId128" display="https://fluxnet.org/sites/siteinfo/CN-Cha" xr:uid="{1B0D1D70-8D0C-429F-A9C5-C878EA4FF477}"/>
    <hyperlink ref="A67" r:id="rId129" display="https://fluxnet.org/sites/siteinfo/CN-Cng" xr:uid="{8684F5F7-A4E6-44D2-B5F4-E406E2B2EA5E}"/>
    <hyperlink ref="B67" r:id="rId130" display="https://fluxnet.org/sites/siteinfo/CN-Cng" xr:uid="{E2AFFA22-52C5-4120-A028-BB3AB8ADF794}"/>
    <hyperlink ref="A68" r:id="rId131" display="https://fluxnet.org/sites/siteinfo/CN-Dan" xr:uid="{BD3D6AEB-BD83-4C07-A7A3-CC0884FBEF76}"/>
    <hyperlink ref="B68" r:id="rId132" display="https://fluxnet.org/sites/siteinfo/CN-Dan" xr:uid="{63DFDAD4-7DD8-4298-96E0-894BFE4D7337}"/>
    <hyperlink ref="A69" r:id="rId133" display="https://fluxnet.org/sites/siteinfo/CN-Din" xr:uid="{05CE92DF-7F10-493B-AFF4-53BCEAD83870}"/>
    <hyperlink ref="B69" r:id="rId134" display="https://fluxnet.org/sites/siteinfo/CN-Din" xr:uid="{30FA7B90-BD3D-47FB-ACE5-E67DB675D766}"/>
    <hyperlink ref="A70" r:id="rId135" display="https://fluxnet.org/sites/siteinfo/CN-Du2" xr:uid="{0B0AF491-2194-4EF9-88C7-F7815E19C620}"/>
    <hyperlink ref="B70" r:id="rId136" display="https://fluxnet.org/sites/siteinfo/CN-Du2" xr:uid="{15FA6856-234B-49C6-A3B1-60C45C405A38}"/>
    <hyperlink ref="A71" r:id="rId137" display="https://fluxnet.org/sites/siteinfo/CN-Du3" xr:uid="{BF66DA19-1EB8-4986-B844-D4A32B910549}"/>
    <hyperlink ref="B71" r:id="rId138" display="https://fluxnet.org/sites/siteinfo/CN-Du3" xr:uid="{C282DFD7-976A-479F-A12D-F14FD6B3E7D3}"/>
    <hyperlink ref="A72" r:id="rId139" display="https://fluxnet.org/sites/siteinfo/CN-Ha2" xr:uid="{6E41F7E3-14F1-4CFE-9882-D777EEBA7A33}"/>
    <hyperlink ref="B72" r:id="rId140" display="https://fluxnet.org/sites/siteinfo/CN-Ha2" xr:uid="{AF2C3296-EA70-45C8-8C8A-50018D6453F5}"/>
    <hyperlink ref="A73" r:id="rId141" display="https://fluxnet.org/sites/siteinfo/CN-HaM" xr:uid="{0D1789A3-4583-480B-A27E-23E9D6BDA8B4}"/>
    <hyperlink ref="B73" r:id="rId142" display="https://fluxnet.org/sites/siteinfo/CN-HaM" xr:uid="{DC0B7F65-8285-4068-8CE8-E83F48B33DF5}"/>
    <hyperlink ref="A74" r:id="rId143" display="https://fluxnet.org/sites/siteinfo/CN-Hgu" xr:uid="{285F4525-6533-44C1-975B-93BF4CD752DE}"/>
    <hyperlink ref="B74" r:id="rId144" display="https://fluxnet.org/sites/siteinfo/CN-Hgu" xr:uid="{9EC89579-290C-4819-8E12-A6936D1161DF}"/>
    <hyperlink ref="A75" r:id="rId145" display="https://fluxnet.org/sites/siteinfo/CN-Qia" xr:uid="{76CCB626-8B9C-4275-B46C-560722FD064D}"/>
    <hyperlink ref="B75" r:id="rId146" display="https://fluxnet.org/sites/siteinfo/CN-Qia" xr:uid="{543B3991-2D30-4916-9185-6DCEDF5DE1DC}"/>
    <hyperlink ref="A76" r:id="rId147" display="https://fluxnet.org/sites/siteinfo/CN-Sw2" xr:uid="{B01D86FB-923F-409F-93AF-EF84C8C82243}"/>
    <hyperlink ref="B76" r:id="rId148" display="https://fluxnet.org/sites/siteinfo/CN-Sw2" xr:uid="{70520616-0BC2-420E-85C1-2C8865F11DDB}"/>
    <hyperlink ref="A77" r:id="rId149" display="https://fluxnet.org/sites/siteinfo/CZ-BK1" xr:uid="{B5EA0A9E-4058-4C1B-A617-CAE92FE7C133}"/>
    <hyperlink ref="B77" r:id="rId150" display="https://fluxnet.org/sites/siteinfo/CZ-BK1" xr:uid="{70A38194-A3A2-4C1C-AB7D-3D83866A1192}"/>
    <hyperlink ref="A78" r:id="rId151" display="https://fluxnet.org/sites/siteinfo/CZ-BK2" xr:uid="{DB0F0A39-E013-4C7F-9A98-F345B2E838E3}"/>
    <hyperlink ref="B78" r:id="rId152" display="https://fluxnet.org/sites/siteinfo/CZ-BK2" xr:uid="{F0FE0EDB-61EE-4DD0-BC3E-86E8D83C9A5F}"/>
    <hyperlink ref="A79" r:id="rId153" display="https://fluxnet.org/sites/siteinfo/CZ-wet" xr:uid="{F9CF9863-88F7-45C6-A953-2FD7C8B4C7A1}"/>
    <hyperlink ref="B79" r:id="rId154" display="https://fluxnet.org/sites/siteinfo/CZ-wet" xr:uid="{EEE594F3-466C-4A63-B825-C9D50CC5BA38}"/>
    <hyperlink ref="A80" r:id="rId155" display="https://fluxnet.org/sites/siteinfo/DE-Akm" xr:uid="{71CFE21F-0C0E-4C24-A243-3FCA672538A5}"/>
    <hyperlink ref="B80" r:id="rId156" display="https://fluxnet.org/sites/siteinfo/DE-Akm" xr:uid="{DDECCBE2-5944-4B69-8C86-C1390F1AA6BC}"/>
    <hyperlink ref="A81" r:id="rId157" display="https://fluxnet.org/sites/siteinfo/DE-Dgw" xr:uid="{C783B9CE-0123-416B-8128-B9418BB672BA}"/>
    <hyperlink ref="B81" r:id="rId158" display="https://fluxnet.org/sites/siteinfo/DE-Dgw" xr:uid="{149CFE63-562E-4966-8F4D-DA615DC3A3D7}"/>
    <hyperlink ref="A82" r:id="rId159" display="https://fluxnet.org/sites/siteinfo/DE-Geb" xr:uid="{61E68348-A0B5-414F-B31B-1404BB7DC718}"/>
    <hyperlink ref="B82" r:id="rId160" display="https://fluxnet.org/sites/siteinfo/DE-Geb" xr:uid="{F0E04A38-090B-46AF-BD3F-011B82A3E812}"/>
    <hyperlink ref="A83" r:id="rId161" display="https://fluxnet.org/sites/siteinfo/DE-Gri" xr:uid="{3F1A2C8D-5E66-4969-A37D-D158587BFEB9}"/>
    <hyperlink ref="B83" r:id="rId162" display="https://fluxnet.org/sites/siteinfo/DE-Gri" xr:uid="{47EBF3A8-2755-46C8-A874-0EF11ADF7B57}"/>
    <hyperlink ref="A84" r:id="rId163" display="https://fluxnet.org/sites/siteinfo/DE-Hai" xr:uid="{5B6E2796-4539-4A1F-8C48-4898BF16C989}"/>
    <hyperlink ref="B84" r:id="rId164" display="https://fluxnet.org/sites/siteinfo/DE-Hai" xr:uid="{C57F28E3-C3F5-4F71-B89B-AFE949119858}"/>
    <hyperlink ref="A85" r:id="rId165" display="https://fluxnet.org/sites/siteinfo/DE-Hte" xr:uid="{A41C44C6-5C58-4EEF-A277-803957344939}"/>
    <hyperlink ref="B85" r:id="rId166" display="https://fluxnet.org/sites/siteinfo/DE-Hte" xr:uid="{3F6227E6-A782-472A-8C8C-34D5B0CA3E1A}"/>
    <hyperlink ref="A86" r:id="rId167" display="https://fluxnet.org/sites/siteinfo/DE-Kli" xr:uid="{851DBA21-D04E-472C-828B-53D23BA872AB}"/>
    <hyperlink ref="B86" r:id="rId168" display="https://fluxnet.org/sites/siteinfo/DE-Kli" xr:uid="{3AEAFAB6-4FEB-49AE-9943-605EA024E57A}"/>
    <hyperlink ref="A87" r:id="rId169" display="https://fluxnet.org/sites/siteinfo/DE-Lkb" xr:uid="{0505BB66-6301-4D2F-BAC2-F19119ACB6DF}"/>
    <hyperlink ref="B87" r:id="rId170" display="https://fluxnet.org/sites/siteinfo/DE-Lkb" xr:uid="{CB87011B-D905-4F32-9252-40DD46A57CBA}"/>
    <hyperlink ref="A88" r:id="rId171" display="https://fluxnet.org/sites/siteinfo/DE-Lnf" xr:uid="{3326572F-3A32-4C95-8468-722C7387A0F4}"/>
    <hyperlink ref="B88" r:id="rId172" display="https://fluxnet.org/sites/siteinfo/DE-Lnf" xr:uid="{CFDC4A33-9504-4113-9CDC-991E3F606819}"/>
    <hyperlink ref="A89" r:id="rId173" display="https://fluxnet.org/sites/siteinfo/DE-Obe" xr:uid="{D332597D-4D1E-4D8D-8769-1E689E0D6354}"/>
    <hyperlink ref="B89" r:id="rId174" display="https://fluxnet.org/sites/siteinfo/DE-Obe" xr:uid="{AEA31CBE-9070-4021-A7CD-E026ACDEE488}"/>
    <hyperlink ref="A90" r:id="rId175" display="https://fluxnet.org/sites/siteinfo/DE-RuR" xr:uid="{0E4DDE82-67B9-4CC5-9101-04878CB60DBB}"/>
    <hyperlink ref="B90" r:id="rId176" display="https://fluxnet.org/sites/siteinfo/DE-RuR" xr:uid="{6BD1490B-98A5-4066-BBCC-E503681CCEA0}"/>
    <hyperlink ref="A91" r:id="rId177" display="https://fluxnet.org/sites/siteinfo/DE-RuS" xr:uid="{4BB54C19-A8AB-42D2-91DD-03BA00B9D40C}"/>
    <hyperlink ref="B91" r:id="rId178" display="https://fluxnet.org/sites/siteinfo/DE-RuS" xr:uid="{A4AD2571-032B-4338-B536-DB489DEE6F36}"/>
    <hyperlink ref="A92" r:id="rId179" display="https://fluxnet.org/sites/siteinfo/DE-Seh" xr:uid="{B0358C93-C9BC-4919-BF08-A3C18B158B0F}"/>
    <hyperlink ref="B92" r:id="rId180" display="https://fluxnet.org/sites/siteinfo/DE-Seh" xr:uid="{ADCE89F2-C87F-4B8B-9EF1-C0C0542A4B92}"/>
    <hyperlink ref="A93" r:id="rId181" display="https://fluxnet.org/sites/siteinfo/DE-SfN" xr:uid="{059ABF19-64B0-4B52-88A1-2E4B1E5C07AE}"/>
    <hyperlink ref="B93" r:id="rId182" display="https://fluxnet.org/sites/siteinfo/DE-SfN" xr:uid="{83D4FA64-B0F8-41A8-B54A-488622D7A6AF}"/>
    <hyperlink ref="A94" r:id="rId183" display="https://fluxnet.org/sites/siteinfo/DE-Spw" xr:uid="{BCF0BFC0-3E0E-4B59-901F-7964DEE58A05}"/>
    <hyperlink ref="B94" r:id="rId184" display="https://fluxnet.org/sites/siteinfo/DE-Spw" xr:uid="{2824A758-5664-4688-B4B2-FB6212614EEF}"/>
    <hyperlink ref="A95" r:id="rId185" display="https://fluxnet.org/sites/siteinfo/DE-Tha" xr:uid="{CD44B170-3EEC-4B00-BB8E-8C4903B70201}"/>
    <hyperlink ref="B95" r:id="rId186" display="https://fluxnet.org/sites/siteinfo/DE-Tha" xr:uid="{A68AEC22-90F9-45B4-9A87-B0B7ED8FD781}"/>
    <hyperlink ref="A96" r:id="rId187" display="https://fluxnet.org/sites/siteinfo/DE-Zrk" xr:uid="{D8646538-9835-496C-9410-CE3D9056E5AE}"/>
    <hyperlink ref="B96" r:id="rId188" display="https://fluxnet.org/sites/siteinfo/DE-Zrk" xr:uid="{1C9BFA25-C306-4148-8399-B3A5F4F9AB5A}"/>
    <hyperlink ref="A97" r:id="rId189" display="https://fluxnet.org/sites/siteinfo/DK-Eng" xr:uid="{3C899D9E-DF6C-4CF0-BB23-179D9D7F5009}"/>
    <hyperlink ref="B97" r:id="rId190" display="https://fluxnet.org/sites/siteinfo/DK-Eng" xr:uid="{E9C0464B-5B83-4D97-B035-2DDEA52E07FC}"/>
    <hyperlink ref="A98" r:id="rId191" display="https://fluxnet.org/sites/siteinfo/DK-Fou" xr:uid="{ABEBF527-2EE7-4E0C-9B9E-26CB344305D5}"/>
    <hyperlink ref="B98" r:id="rId192" display="https://fluxnet.org/sites/siteinfo/DK-Fou" xr:uid="{F31E218A-5100-4797-BEE3-5595FF551771}"/>
    <hyperlink ref="A99" r:id="rId193" display="https://fluxnet.org/sites/siteinfo/DK-Sor" xr:uid="{D92216FE-DAE3-4CE6-BECA-AE6B240F5D4E}"/>
    <hyperlink ref="B99" r:id="rId194" display="https://fluxnet.org/sites/siteinfo/DK-Sor" xr:uid="{2A812D21-7512-4551-BC70-560A96FF05F9}"/>
    <hyperlink ref="A100" r:id="rId195" display="https://fluxnet.org/sites/siteinfo/ES-Amo" xr:uid="{8B38EF6F-FFC7-4515-8080-5F998BA8392B}"/>
    <hyperlink ref="B100" r:id="rId196" display="https://fluxnet.org/sites/siteinfo/ES-Amo" xr:uid="{B615D317-B2C1-4D16-9EDC-A7639EB8999E}"/>
    <hyperlink ref="A101" r:id="rId197" display="https://fluxnet.org/sites/siteinfo/ES-LJu" xr:uid="{8B9732BB-72F6-4357-8ABE-025A2E51C5A8}"/>
    <hyperlink ref="B101" r:id="rId198" display="https://fluxnet.org/sites/siteinfo/ES-LJu" xr:uid="{B73D0C17-0A2C-4A01-B015-40363A9F3AC5}"/>
    <hyperlink ref="A102" r:id="rId199" display="https://fluxnet.org/sites/siteinfo/ES-LgS" xr:uid="{B3E1DFB7-9590-42F6-89CE-C6A98345C11D}"/>
    <hyperlink ref="B102" r:id="rId200" display="https://fluxnet.org/sites/siteinfo/ES-LgS" xr:uid="{2787A700-B430-4BDB-B249-A00335466D1B}"/>
    <hyperlink ref="A103" r:id="rId201" display="https://fluxnet.org/sites/siteinfo/ES-Ln2" xr:uid="{FC37B29A-9D39-4D0F-9104-D4A6C0B173F7}"/>
    <hyperlink ref="B103" r:id="rId202" display="https://fluxnet.org/sites/siteinfo/ES-Ln2" xr:uid="{762210BF-1140-4780-9AF6-2065B96CA24F}"/>
    <hyperlink ref="A104" r:id="rId203" display="https://fluxnet.org/sites/siteinfo/FI-Hyy" xr:uid="{F6EB0B13-619F-4E3C-A6B8-1EA410BBD126}"/>
    <hyperlink ref="B104" r:id="rId204" display="https://fluxnet.org/sites/siteinfo/FI-Hyy" xr:uid="{6A1036ED-30BD-4D5A-9A83-95B599CB5BA5}"/>
    <hyperlink ref="A105" r:id="rId205" display="https://fluxnet.org/sites/siteinfo/FI-Jok" xr:uid="{B4984B5D-A58F-465E-9EB0-5343B1642822}"/>
    <hyperlink ref="B105" r:id="rId206" display="https://fluxnet.org/sites/siteinfo/FI-Jok" xr:uid="{4B3B3023-0BF9-4408-90AF-A179D75FED7F}"/>
    <hyperlink ref="A106" r:id="rId207" display="https://fluxnet.org/sites/siteinfo/FI-Let" xr:uid="{068AAE75-5336-4455-9844-C5A84249C139}"/>
    <hyperlink ref="B106" r:id="rId208" display="https://fluxnet.org/sites/siteinfo/FI-Let" xr:uid="{58F55103-060F-4319-9B00-FD4F8742574A}"/>
    <hyperlink ref="A107" r:id="rId209" display="https://fluxnet.org/sites/siteinfo/FI-Lom" xr:uid="{D449CA60-A2BC-47D2-B92D-6F7AE82D524C}"/>
    <hyperlink ref="B107" r:id="rId210" display="https://fluxnet.org/sites/siteinfo/FI-Lom" xr:uid="{45839EAB-130F-4EE3-86EA-A38B9D0C56E2}"/>
    <hyperlink ref="A108" r:id="rId211" display="https://fluxnet.org/sites/siteinfo/FI-Si2" xr:uid="{C199DAF7-BB21-4AA8-9EA2-A36266ED66D9}"/>
    <hyperlink ref="B108" r:id="rId212" display="https://fluxnet.org/sites/siteinfo/FI-Si2" xr:uid="{7C6F0BCE-C560-4A4F-B5A6-B27FE7C316D0}"/>
    <hyperlink ref="A109" r:id="rId213" display="https://fluxnet.org/sites/siteinfo/FI-Sii" xr:uid="{E4BC8E76-9DCD-496E-BF20-18E93BED5002}"/>
    <hyperlink ref="B109" r:id="rId214" display="https://fluxnet.org/sites/siteinfo/FI-Sii" xr:uid="{45409AFE-6F6B-4CC4-A4DF-55A76BF1BB52}"/>
    <hyperlink ref="A110" r:id="rId215" display="https://fluxnet.org/sites/siteinfo/FI-Sod" xr:uid="{9EF86130-6879-4EE3-8231-37F349472C21}"/>
    <hyperlink ref="B110" r:id="rId216" display="https://fluxnet.org/sites/siteinfo/FI-Sod" xr:uid="{1CD858AF-9B1B-4CF1-9066-1A367A82573D}"/>
    <hyperlink ref="A111" r:id="rId217" display="https://fluxnet.org/sites/siteinfo/FR-Fon" xr:uid="{60368FBA-DCDA-49E3-970D-EDD0640C5DDB}"/>
    <hyperlink ref="B111" r:id="rId218" display="https://fluxnet.org/sites/siteinfo/FR-Fon" xr:uid="{1E93C37A-A6FC-484B-A1C9-1588D8C44410}"/>
    <hyperlink ref="A112" r:id="rId219" display="https://fluxnet.org/sites/siteinfo/FR-Gri" xr:uid="{3F6317F7-BE9F-4279-A344-518CF24B81D0}"/>
    <hyperlink ref="B112" r:id="rId220" display="https://fluxnet.org/sites/siteinfo/FR-Gri" xr:uid="{CBF8AC4B-8485-4479-B9ED-29E04DF0F271}"/>
    <hyperlink ref="A113" r:id="rId221" display="https://fluxnet.org/sites/siteinfo/FR-LBr" xr:uid="{27A06F01-AF21-4268-BD01-26B9E1956066}"/>
    <hyperlink ref="B113" r:id="rId222" display="https://fluxnet.org/sites/siteinfo/FR-LBr" xr:uid="{17B1FC25-66AA-41CB-83B7-0B7BCD80EC84}"/>
    <hyperlink ref="A114" r:id="rId223" display="https://fluxnet.org/sites/siteinfo/FR-LGt" xr:uid="{0F1BE5BE-4B1C-4877-B95E-17817088DFBF}"/>
    <hyperlink ref="B114" r:id="rId224" display="https://fluxnet.org/sites/siteinfo/FR-LGt" xr:uid="{3C53FAA3-8161-4502-A862-2F3C924DE780}"/>
    <hyperlink ref="A115" r:id="rId225" display="https://fluxnet.org/sites/siteinfo/FR-Pue" xr:uid="{D6501630-F5A1-4093-9E65-60DC086FF8DA}"/>
    <hyperlink ref="B115" r:id="rId226" display="https://fluxnet.org/sites/siteinfo/FR-Pue" xr:uid="{AEBF89C9-0E4B-4710-AF0C-C6A13F2A7470}"/>
    <hyperlink ref="A116" r:id="rId227" display="https://fluxnet.org/sites/siteinfo/GF-Guy" xr:uid="{CE51C05D-6385-402F-B9A3-E950788E8D20}"/>
    <hyperlink ref="B116" r:id="rId228" display="https://fluxnet.org/sites/siteinfo/GF-Guy" xr:uid="{8C9F911E-7949-4579-8FF1-65FE94319B48}"/>
    <hyperlink ref="A117" r:id="rId229" display="https://fluxnet.org/sites/siteinfo/GH-Ank" xr:uid="{A36C8736-345B-4B5D-B972-6E88F853ECDC}"/>
    <hyperlink ref="B117" r:id="rId230" display="https://fluxnet.org/sites/siteinfo/GH-Ank" xr:uid="{3EE095A5-9B88-4634-B68B-F47BF6F4B841}"/>
    <hyperlink ref="A118" r:id="rId231" display="https://fluxnet.org/sites/siteinfo/GL-NuF" xr:uid="{4149FAE7-5896-4193-B368-C676C0817B35}"/>
    <hyperlink ref="B118" r:id="rId232" display="https://fluxnet.org/sites/siteinfo/GL-NuF" xr:uid="{AB95C0AB-D0F7-4748-B219-AC9AF4F263E3}"/>
    <hyperlink ref="A119" r:id="rId233" display="https://fluxnet.org/sites/siteinfo/GL-ZaF" xr:uid="{654A06DE-99CD-42DB-92DA-ECC94764E48A}"/>
    <hyperlink ref="B119" r:id="rId234" display="https://fluxnet.org/sites/siteinfo/GL-ZaF" xr:uid="{734F0497-1F8A-458B-99D5-88351591A528}"/>
    <hyperlink ref="A120" r:id="rId235" display="https://fluxnet.org/sites/siteinfo/GL-ZaH" xr:uid="{D4BA989D-D916-4114-8A91-87A1027D0CDC}"/>
    <hyperlink ref="B120" r:id="rId236" display="https://fluxnet.org/sites/siteinfo/GL-ZaH" xr:uid="{8D9691A9-840B-4BFB-9E65-4D8FBE63A40F}"/>
    <hyperlink ref="A121" r:id="rId237" display="https://fluxnet.org/sites/siteinfo/HK-MPM" xr:uid="{28D980C4-683B-415D-AD64-3D2C7C143132}"/>
    <hyperlink ref="B121" r:id="rId238" display="https://fluxnet.org/sites/siteinfo/HK-MPM" xr:uid="{5FD92E52-C034-4553-B6AD-C3297FE041A9}"/>
    <hyperlink ref="A122" r:id="rId239" display="https://fluxnet.org/sites/siteinfo/ID-Pag" xr:uid="{B2CA4C6A-869A-4C9F-A6C6-30175FABEA37}"/>
    <hyperlink ref="B122" r:id="rId240" display="https://fluxnet.org/sites/siteinfo/ID-Pag" xr:uid="{007A583F-2AA1-4E45-B1B3-E127F4A609CC}"/>
    <hyperlink ref="A123" r:id="rId241" display="https://fluxnet.org/sites/siteinfo/IT-BCi" xr:uid="{39D33250-8754-48F2-870A-FB5C24E7007F}"/>
    <hyperlink ref="B123" r:id="rId242" display="https://fluxnet.org/sites/siteinfo/IT-BCi" xr:uid="{85DC039F-1F2B-40C1-A2D2-E02F0BF853E1}"/>
    <hyperlink ref="A124" r:id="rId243" display="https://fluxnet.org/sites/siteinfo/IT-CA1" xr:uid="{BAE6EAB6-95D6-4013-8F67-CA1AE3A140D4}"/>
    <hyperlink ref="B124" r:id="rId244" display="https://fluxnet.org/sites/siteinfo/IT-CA1" xr:uid="{D61B6C7D-E18F-4AF6-A04C-C4B6ECF97303}"/>
    <hyperlink ref="A125" r:id="rId245" display="https://fluxnet.org/sites/siteinfo/IT-CA2" xr:uid="{B9F8103B-EC9D-4731-89B6-119CCDEFB5F8}"/>
    <hyperlink ref="B125" r:id="rId246" display="https://fluxnet.org/sites/siteinfo/IT-CA2" xr:uid="{29ECA4BE-1567-4E64-895A-E7F4F34BB8C6}"/>
    <hyperlink ref="A126" r:id="rId247" display="https://fluxnet.org/sites/siteinfo/IT-CA3" xr:uid="{102C27A0-FBD0-45BF-92BB-2A949B91A5A6}"/>
    <hyperlink ref="B126" r:id="rId248" display="https://fluxnet.org/sites/siteinfo/IT-CA3" xr:uid="{3F9BA54F-2C5D-4B42-9CF0-B123EA630A71}"/>
    <hyperlink ref="A127" r:id="rId249" display="https://fluxnet.org/sites/siteinfo/IT-Cas" xr:uid="{F4841911-5F30-4D89-9197-C3C1DEE333A8}"/>
    <hyperlink ref="B127" r:id="rId250" display="https://fluxnet.org/sites/siteinfo/IT-Cas" xr:uid="{CA9DEC3F-E336-4C54-93B1-F091BB2C4877}"/>
    <hyperlink ref="A128" r:id="rId251" display="https://fluxnet.org/sites/siteinfo/IT-Col" xr:uid="{D724F913-5242-4BAF-AB98-2A02343CF90B}"/>
    <hyperlink ref="B128" r:id="rId252" display="https://fluxnet.org/sites/siteinfo/IT-Col" xr:uid="{4D1556B2-3B0B-4B79-B08F-48D9570C72D7}"/>
    <hyperlink ref="A129" r:id="rId253" display="https://fluxnet.org/sites/siteinfo/IT-Cp2" xr:uid="{18116FAA-F23D-45DB-AE06-71D87B1306FD}"/>
    <hyperlink ref="B129" r:id="rId254" display="https://fluxnet.org/sites/siteinfo/IT-Cp2" xr:uid="{B236BF66-5FAE-410B-9BEB-F0252A173835}"/>
    <hyperlink ref="A130" r:id="rId255" display="https://fluxnet.org/sites/siteinfo/IT-Cpz" xr:uid="{4CBDD2E1-862E-4C01-BC6A-AC9520FC7D8D}"/>
    <hyperlink ref="B130" r:id="rId256" display="https://fluxnet.org/sites/siteinfo/IT-Cpz" xr:uid="{E2F711BB-DB8D-480A-832C-1F7E2BA9333B}"/>
    <hyperlink ref="A131" r:id="rId257" display="https://fluxnet.org/sites/siteinfo/IT-Isp" xr:uid="{D26D2F20-B1D9-49FD-8D15-9C0B9138139C}"/>
    <hyperlink ref="B131" r:id="rId258" display="https://fluxnet.org/sites/siteinfo/IT-Isp" xr:uid="{A27B2345-F8B1-4874-8FAC-2FD4A90C7D32}"/>
    <hyperlink ref="A132" r:id="rId259" display="https://fluxnet.org/sites/siteinfo/IT-La2" xr:uid="{9EE6445B-541A-46A2-8A99-D549997CD698}"/>
    <hyperlink ref="B132" r:id="rId260" display="https://fluxnet.org/sites/siteinfo/IT-La2" xr:uid="{0DCA9609-83BC-4B0A-B894-E52E47E6FC08}"/>
    <hyperlink ref="A133" r:id="rId261" display="https://fluxnet.org/sites/siteinfo/IT-Lav" xr:uid="{5CC5481C-3FD1-4085-849E-2FE957F9468A}"/>
    <hyperlink ref="B133" r:id="rId262" display="https://fluxnet.org/sites/siteinfo/IT-Lav" xr:uid="{D402D9AF-7BB3-433B-9062-BC6CAF9E4361}"/>
    <hyperlink ref="A134" r:id="rId263" display="https://fluxnet.org/sites/siteinfo/IT-MBo" xr:uid="{EA2B6E26-5BB1-4276-9ECE-606A87BFB870}"/>
    <hyperlink ref="B134" r:id="rId264" display="https://fluxnet.org/sites/siteinfo/IT-MBo" xr:uid="{7FD23F04-DBF7-41D6-9D64-C8338755B5C6}"/>
    <hyperlink ref="A135" r:id="rId265" display="https://fluxnet.org/sites/siteinfo/IT-Noe" xr:uid="{48F0ED50-15C5-4D22-AFB0-A3FFA6BFECC2}"/>
    <hyperlink ref="B135" r:id="rId266" display="https://fluxnet.org/sites/siteinfo/IT-Noe" xr:uid="{9BF76F71-D755-4590-A89F-85D64116432B}"/>
    <hyperlink ref="A136" r:id="rId267" display="https://fluxnet.org/sites/siteinfo/IT-PT1" xr:uid="{8C0C6C0F-4170-4F18-9A07-CFA973A34615}"/>
    <hyperlink ref="B136" r:id="rId268" display="https://fluxnet.org/sites/siteinfo/IT-PT1" xr:uid="{66C98B8F-AE80-4932-B025-68863768B620}"/>
    <hyperlink ref="A137" r:id="rId269" display="https://fluxnet.org/sites/siteinfo/IT-Ren" xr:uid="{F52ED164-12CD-40F7-98F6-579BAD387031}"/>
    <hyperlink ref="B137" r:id="rId270" display="https://fluxnet.org/sites/siteinfo/IT-Ren" xr:uid="{90B5C77F-2559-477B-89A6-57F6CBC425BB}"/>
    <hyperlink ref="A138" r:id="rId271" display="https://fluxnet.org/sites/siteinfo/IT-Ro1" xr:uid="{52FB9653-1D57-4325-927D-D84363878728}"/>
    <hyperlink ref="B138" r:id="rId272" display="https://fluxnet.org/sites/siteinfo/IT-Ro1" xr:uid="{71FDBCB2-6601-4FFB-ABE1-65B68847D1A6}"/>
    <hyperlink ref="A139" r:id="rId273" display="https://fluxnet.org/sites/siteinfo/IT-Ro2" xr:uid="{1ADBC5F1-5E62-43D7-8ADE-BA4EDC3D871D}"/>
    <hyperlink ref="B139" r:id="rId274" display="https://fluxnet.org/sites/siteinfo/IT-Ro2" xr:uid="{09A0A5B8-05F8-46C2-86A5-F369562580DA}"/>
    <hyperlink ref="A140" r:id="rId275" display="https://fluxnet.org/sites/siteinfo/IT-SR2" xr:uid="{1A53B7D3-81E5-4A31-B353-408684FCA631}"/>
    <hyperlink ref="B140" r:id="rId276" display="https://fluxnet.org/sites/siteinfo/IT-SR2" xr:uid="{C4836FBE-BE89-4301-8677-F0290E8DF1EA}"/>
    <hyperlink ref="A141" r:id="rId277" display="https://fluxnet.org/sites/siteinfo/IT-SRo" xr:uid="{D779D8CC-854E-444C-8837-79B450441850}"/>
    <hyperlink ref="B141" r:id="rId278" display="https://fluxnet.org/sites/siteinfo/IT-SRo" xr:uid="{AEABD4DC-6C33-4951-A3C3-E4F84F02A703}"/>
    <hyperlink ref="A142" r:id="rId279" display="https://fluxnet.org/sites/siteinfo/IT-Tor" xr:uid="{D5DDC9F6-E796-4196-915F-688151686747}"/>
    <hyperlink ref="B142" r:id="rId280" display="https://fluxnet.org/sites/siteinfo/IT-Tor" xr:uid="{E796F451-566D-4D47-A56C-DFE03A0485AA}"/>
    <hyperlink ref="A143" r:id="rId281" display="https://fluxnet.org/sites/siteinfo/JP-BBY" xr:uid="{78A723EA-036D-4EEE-BE6B-78410D6A1779}"/>
    <hyperlink ref="B143" r:id="rId282" display="https://fluxnet.org/sites/siteinfo/JP-BBY" xr:uid="{EE857B54-1A68-4E12-A278-EF907EEA90D6}"/>
    <hyperlink ref="A144" r:id="rId283" display="https://fluxnet.org/sites/siteinfo/JP-MBF" xr:uid="{AC226542-173B-4456-A145-3A6CED451A02}"/>
    <hyperlink ref="B144" r:id="rId284" display="https://fluxnet.org/sites/siteinfo/JP-MBF" xr:uid="{0A3F35E9-92D9-477D-91E5-03B6D7CDED99}"/>
    <hyperlink ref="A145" r:id="rId285" display="https://fluxnet.org/sites/siteinfo/JP-Mse" xr:uid="{011233A4-D77F-4BE3-9A70-40DABE1D6848}"/>
    <hyperlink ref="B145" r:id="rId286" display="https://fluxnet.org/sites/siteinfo/JP-Mse" xr:uid="{67C6CDF9-972D-49C1-81BF-6846423A9D62}"/>
    <hyperlink ref="A146" r:id="rId287" display="https://fluxnet.org/sites/siteinfo/JP-SMF" xr:uid="{47BC14D2-59E0-4DCD-9522-F857D169F193}"/>
    <hyperlink ref="B146" r:id="rId288" display="https://fluxnet.org/sites/siteinfo/JP-SMF" xr:uid="{5821FF4B-3400-4B87-91AA-06C953BF8D27}"/>
    <hyperlink ref="A147" r:id="rId289" display="https://fluxnet.org/sites/siteinfo/JP-SwL" xr:uid="{1D70AE19-B332-43E1-9142-A4A0D0E83C6E}"/>
    <hyperlink ref="B147" r:id="rId290" display="https://fluxnet.org/sites/siteinfo/JP-SwL" xr:uid="{637EEE8A-12DF-4A2C-8F69-239F7994643C}"/>
    <hyperlink ref="A148" r:id="rId291" display="https://fluxnet.org/sites/siteinfo/KR-CRK" xr:uid="{F7FE5AE8-FB51-4DB9-B68B-5619F454B314}"/>
    <hyperlink ref="B148" r:id="rId292" display="https://fluxnet.org/sites/siteinfo/KR-CRK" xr:uid="{8890F5D4-5FF9-4E2A-8EB2-A0B46BEB3413}"/>
    <hyperlink ref="A149" r:id="rId293" display="https://fluxnet.org/sites/siteinfo/MY-MLM" xr:uid="{16560539-C5A9-469E-A8D9-A4F2F2E6DB2C}"/>
    <hyperlink ref="B149" r:id="rId294" display="https://fluxnet.org/sites/siteinfo/MY-MLM" xr:uid="{0B1DA701-36DB-4288-949A-0A94C061F813}"/>
    <hyperlink ref="A150" r:id="rId295" display="https://fluxnet.org/sites/siteinfo/MY-PSO" xr:uid="{77086025-D730-47E6-8B18-1F8B5FE0BB37}"/>
    <hyperlink ref="B150" r:id="rId296" display="https://fluxnet.org/sites/siteinfo/MY-PSO" xr:uid="{D4695D7F-8EC5-4062-A2F4-5BE3B881064B}"/>
    <hyperlink ref="A151" r:id="rId297" display="https://fluxnet.org/sites/siteinfo/NL-Hor" xr:uid="{1AE13583-880E-4F68-9445-B4D8F840850E}"/>
    <hyperlink ref="B151" r:id="rId298" display="https://fluxnet.org/sites/siteinfo/NL-Hor" xr:uid="{3D1AB3FD-BC71-4699-AB5F-AE3830F64783}"/>
    <hyperlink ref="A152" r:id="rId299" display="https://fluxnet.org/sites/siteinfo/NL-Loo" xr:uid="{5310376E-15E1-4003-A2CC-DEB802F64738}"/>
    <hyperlink ref="B152" r:id="rId300" display="https://fluxnet.org/sites/siteinfo/NL-Loo" xr:uid="{01238C73-D2C6-4C00-8E82-FE16D6293184}"/>
    <hyperlink ref="A153" r:id="rId301" display="https://fluxnet.org/sites/siteinfo/NZ-Kop" xr:uid="{44782691-9366-43D3-85BF-88841CB1E610}"/>
    <hyperlink ref="B153" r:id="rId302" display="https://fluxnet.org/sites/siteinfo/NZ-Kop" xr:uid="{206AC276-E95A-47F4-BF63-CC50057AA6F5}"/>
    <hyperlink ref="A154" r:id="rId303" display="https://fluxnet.org/sites/siteinfo/PA-SPn" xr:uid="{B2199D1E-F2E8-4F58-98AE-02DA39C5289E}"/>
    <hyperlink ref="B154" r:id="rId304" display="https://fluxnet.org/sites/siteinfo/PA-SPn" xr:uid="{1D08EF76-7CB1-4013-9088-CCC965358CA1}"/>
    <hyperlink ref="A155" r:id="rId305" display="https://fluxnet.org/sites/siteinfo/PA-SPs" xr:uid="{2FE728EF-4A13-426A-A1AC-43898194878D}"/>
    <hyperlink ref="B155" r:id="rId306" display="https://fluxnet.org/sites/siteinfo/PA-SPs" xr:uid="{AC456792-A9D4-419D-9864-DF682A5DC631}"/>
    <hyperlink ref="A156" r:id="rId307" display="https://fluxnet.org/sites/siteinfo/PH-RiF" xr:uid="{5415AF24-927B-4CD0-9CDA-51050E652310}"/>
    <hyperlink ref="B156" r:id="rId308" display="https://fluxnet.org/sites/siteinfo/PH-RiF" xr:uid="{DD4822AD-52B4-4C16-968C-DD3C842097F6}"/>
    <hyperlink ref="A157" r:id="rId309" display="https://fluxnet.org/sites/siteinfo/RU-Ch2" xr:uid="{0208F043-3230-40FD-B9CA-72DB92DE1EF6}"/>
    <hyperlink ref="B157" r:id="rId310" display="https://fluxnet.org/sites/siteinfo/RU-Ch2" xr:uid="{98E56541-E0AD-4B9F-8500-3A7EAA0AFAB3}"/>
    <hyperlink ref="A158" r:id="rId311" display="https://fluxnet.org/sites/siteinfo/RU-Che" xr:uid="{034252FD-F613-445B-B628-32A9C378FB2B}"/>
    <hyperlink ref="B158" r:id="rId312" display="https://fluxnet.org/sites/siteinfo/RU-Che" xr:uid="{F32E4346-B9C4-4E94-9B13-C761461A6FD0}"/>
    <hyperlink ref="A159" r:id="rId313" display="https://fluxnet.org/sites/siteinfo/RU-Cok" xr:uid="{3B5129F4-023C-4145-9977-41E18EFD0F8F}"/>
    <hyperlink ref="B159" r:id="rId314" display="https://fluxnet.org/sites/siteinfo/RU-Cok" xr:uid="{0134B02E-5495-4A2C-B8D1-869531FE0DB4}"/>
    <hyperlink ref="A160" r:id="rId315" display="https://fluxnet.org/sites/siteinfo/RU-Fy2" xr:uid="{CC56E0DD-04C4-49B5-A45F-68939500F97D}"/>
    <hyperlink ref="B160" r:id="rId316" display="https://fluxnet.org/sites/siteinfo/RU-Fy2" xr:uid="{C2287515-01EE-47DE-87B1-F08296BD1F3E}"/>
    <hyperlink ref="A161" r:id="rId317" display="https://fluxnet.org/sites/siteinfo/RU-Fyo" xr:uid="{9F5ECFAD-F9A6-4C22-996A-B1B1ADA66697}"/>
    <hyperlink ref="B161" r:id="rId318" display="https://fluxnet.org/sites/siteinfo/RU-Fyo" xr:uid="{A5532FA0-E37B-434A-8CD7-46745A2974A5}"/>
    <hyperlink ref="A162" r:id="rId319" display="https://fluxnet.org/sites/siteinfo/RU-Ha1" xr:uid="{3763767B-B888-4BE3-A3E9-F3153B4972E5}"/>
    <hyperlink ref="B162" r:id="rId320" display="https://fluxnet.org/sites/siteinfo/RU-Ha1" xr:uid="{148BC2DB-EC46-4891-9AB5-45D3C5D9BC28}"/>
    <hyperlink ref="A163" r:id="rId321" display="https://fluxnet.org/sites/siteinfo/RU-Sam" xr:uid="{94C3B825-F887-416C-AE22-60AA32804E5B}"/>
    <hyperlink ref="B163" r:id="rId322" display="https://fluxnet.org/sites/siteinfo/RU-Sam" xr:uid="{AB078025-32BF-4712-94EB-D9E991948275}"/>
    <hyperlink ref="A164" r:id="rId323" display="https://fluxnet.org/sites/siteinfo/RU-SkP" xr:uid="{AE1160CC-3CF7-4D21-AF34-E2907FE30766}"/>
    <hyperlink ref="B164" r:id="rId324" display="https://fluxnet.org/sites/siteinfo/RU-SkP" xr:uid="{0EC5E602-F541-4E68-BA88-FB2DBBC8BC33}"/>
    <hyperlink ref="A165" r:id="rId325" display="https://fluxnet.org/sites/siteinfo/RU-Tks" xr:uid="{0602D43F-BAEF-40D3-91AB-77CB819E2208}"/>
    <hyperlink ref="B165" r:id="rId326" display="https://fluxnet.org/sites/siteinfo/RU-Tks" xr:uid="{A49DAC38-3EE6-46C2-880E-277F37867F36}"/>
    <hyperlink ref="A166" r:id="rId327" display="https://fluxnet.org/sites/siteinfo/RU-Vrk" xr:uid="{F6591752-0E01-48CF-999C-69A104F14FF7}"/>
    <hyperlink ref="B166" r:id="rId328" display="https://fluxnet.org/sites/siteinfo/RU-Vrk" xr:uid="{938A677B-E15A-460D-9FC3-DD061C2DB294}"/>
    <hyperlink ref="A167" r:id="rId329" display="https://fluxnet.org/sites/siteinfo/SD-Dem" xr:uid="{FF59317A-8F85-46DF-8A86-8260FC7E3822}"/>
    <hyperlink ref="B167" r:id="rId330" display="https://fluxnet.org/sites/siteinfo/SD-Dem" xr:uid="{FA018A6D-D431-4DB3-B5C3-69F80006BE24}"/>
    <hyperlink ref="A168" r:id="rId331" display="https://fluxnet.org/sites/siteinfo/SE-Deg" xr:uid="{4841782C-876C-4A8A-B078-41F03CC66534}"/>
    <hyperlink ref="B168" r:id="rId332" display="https://fluxnet.org/sites/siteinfo/SE-Deg" xr:uid="{38B5DBCD-787F-47AA-B79D-DD316AB9E266}"/>
    <hyperlink ref="A169" r:id="rId333" display="https://fluxnet.org/sites/siteinfo/SE-St1" xr:uid="{B3A9597A-4105-4990-8A96-DDF425C7A57E}"/>
    <hyperlink ref="B169" r:id="rId334" display="https://fluxnet.org/sites/siteinfo/SE-St1" xr:uid="{3573A84E-B423-492B-8E95-97DA9DAF502D}"/>
    <hyperlink ref="A170" r:id="rId335" display="https://fluxnet.org/sites/siteinfo/SJ-Adv" xr:uid="{226FEAF2-86BD-4F01-A598-2217E28EFD22}"/>
    <hyperlink ref="B170" r:id="rId336" display="https://fluxnet.org/sites/siteinfo/SJ-Adv" xr:uid="{329AB254-2307-4CE8-A40C-F2BE93E1A457}"/>
    <hyperlink ref="A171" r:id="rId337" display="https://fluxnet.org/sites/siteinfo/SJ-Blv" xr:uid="{CA63920E-DD82-4140-BDF8-9BBCE4EB12CF}"/>
    <hyperlink ref="B171" r:id="rId338" display="https://fluxnet.org/sites/siteinfo/SJ-Blv" xr:uid="{01327677-DEAB-46A9-BE1B-64A64B7C9560}"/>
    <hyperlink ref="A172" r:id="rId339" display="https://fluxnet.org/sites/siteinfo/SN-Dhr" xr:uid="{5BA4515B-B116-4033-BAA0-229302CBFD27}"/>
    <hyperlink ref="B172" r:id="rId340" display="https://fluxnet.org/sites/siteinfo/SN-Dhr" xr:uid="{F8F373BE-3811-4373-B56F-541834414B58}"/>
    <hyperlink ref="A173" r:id="rId341" display="https://fluxnet.org/sites/siteinfo/UK-LBT" xr:uid="{7EAA180D-4A27-4E93-8DF7-169214B9C41F}"/>
    <hyperlink ref="B173" r:id="rId342" display="https://fluxnet.org/sites/siteinfo/UK-LBT" xr:uid="{D73BE112-9A8D-42FA-8420-37956DED4C2F}"/>
    <hyperlink ref="A174" r:id="rId343" display="https://fluxnet.org/sites/siteinfo/US-A03" xr:uid="{F98E8DC0-5561-4B58-8EEC-E3FB5BFC4EF8}"/>
    <hyperlink ref="B174" r:id="rId344" display="https://fluxnet.org/sites/siteinfo/US-A03" xr:uid="{FA67F8BD-A9EF-4852-8CDD-104BD86A7400}"/>
    <hyperlink ref="A175" r:id="rId345" display="https://fluxnet.org/sites/siteinfo/US-A10" xr:uid="{4B6D0D71-F294-46DA-B8A9-15C69EF65A05}"/>
    <hyperlink ref="B175" r:id="rId346" display="https://fluxnet.org/sites/siteinfo/US-A10" xr:uid="{63AEA95A-A95A-4C09-9640-08497F428D7D}"/>
    <hyperlink ref="A176" r:id="rId347" display="https://fluxnet.org/sites/siteinfo/US-AR1" xr:uid="{3DC548C2-5907-4CDB-ADD4-08158C9DA372}"/>
    <hyperlink ref="B176" r:id="rId348" display="https://fluxnet.org/sites/siteinfo/US-AR1" xr:uid="{069F04FD-047D-469A-B336-F432514D698B}"/>
    <hyperlink ref="A177" r:id="rId349" display="https://fluxnet.org/sites/siteinfo/US-AR2" xr:uid="{A8AB4044-81C9-4A14-9419-DBC065FC4EA8}"/>
    <hyperlink ref="B177" r:id="rId350" display="https://fluxnet.org/sites/siteinfo/US-AR2" xr:uid="{35DF410F-1FA9-4928-BF0D-8AD1079761C2}"/>
    <hyperlink ref="A178" r:id="rId351" display="https://fluxnet.org/sites/siteinfo/US-ARM" xr:uid="{03A92EEB-3ADC-4C20-891D-E22535E369D1}"/>
    <hyperlink ref="B178" r:id="rId352" display="https://fluxnet.org/sites/siteinfo/US-ARM" xr:uid="{0ECF42B0-03BE-482A-B033-968A3BE1C454}"/>
    <hyperlink ref="A179" r:id="rId353" display="https://fluxnet.org/sites/siteinfo/US-ARb" xr:uid="{01E54F20-4051-46D2-91AB-0DBFA0B7C33D}"/>
    <hyperlink ref="B179" r:id="rId354" display="https://fluxnet.org/sites/siteinfo/US-ARb" xr:uid="{7DD58113-655D-42D0-B306-0DFCF7B89302}"/>
    <hyperlink ref="A180" r:id="rId355" display="https://fluxnet.org/sites/siteinfo/US-ARc" xr:uid="{1C394381-5B3F-402E-9B4F-4354E4C8EEFF}"/>
    <hyperlink ref="B180" r:id="rId356" display="https://fluxnet.org/sites/siteinfo/US-ARc" xr:uid="{03080877-E140-494E-B0A4-24B028BFAC28}"/>
    <hyperlink ref="A181" r:id="rId357" display="https://fluxnet.org/sites/siteinfo/US-Atq" xr:uid="{F16708BB-663D-46A6-A77A-FAEC79FD5909}"/>
    <hyperlink ref="B181" r:id="rId358" display="https://fluxnet.org/sites/siteinfo/US-Atq" xr:uid="{26EF3906-01E3-4AD4-9947-6269E558C095}"/>
    <hyperlink ref="A182" r:id="rId359" display="https://fluxnet.org/sites/siteinfo/US-BZB" xr:uid="{FB824862-E8A2-4FA2-865F-6A0EAA63D6F4}"/>
    <hyperlink ref="B182" r:id="rId360" display="https://fluxnet.org/sites/siteinfo/US-BZB" xr:uid="{977FFD5A-F957-4F2A-B9F2-D258B02BE79C}"/>
    <hyperlink ref="A183" r:id="rId361" display="https://fluxnet.org/sites/siteinfo/US-BZF" xr:uid="{1B8B3BDC-D69A-4135-8EFE-EC826121B42E}"/>
    <hyperlink ref="B183" r:id="rId362" display="https://fluxnet.org/sites/siteinfo/US-BZF" xr:uid="{28549847-BBBB-4911-B09E-7ED41D67C470}"/>
    <hyperlink ref="A184" r:id="rId363" display="https://fluxnet.org/sites/siteinfo/US-BZS" xr:uid="{A1FFC870-9424-42F4-BAB9-5B31FC0D984D}"/>
    <hyperlink ref="B184" r:id="rId364" display="https://fluxnet.org/sites/siteinfo/US-BZS" xr:uid="{168E5660-8E3A-4E44-8646-D8748C8D7EDA}"/>
    <hyperlink ref="A185" r:id="rId365" display="https://fluxnet.org/sites/siteinfo/US-Beo" xr:uid="{C3510BB4-2BA6-4B7A-AF74-7C9D6A284D57}"/>
    <hyperlink ref="B185" r:id="rId366" display="https://fluxnet.org/sites/siteinfo/US-Beo" xr:uid="{2A0129A5-E6DC-449C-B550-97859ED6965B}"/>
    <hyperlink ref="A186" r:id="rId367" display="https://fluxnet.org/sites/siteinfo/US-Bes" xr:uid="{9585EF6B-0F7E-47B6-88E4-C1E52D4BD247}"/>
    <hyperlink ref="B186" r:id="rId368" display="https://fluxnet.org/sites/siteinfo/US-Bes" xr:uid="{130D20DF-9C60-47B4-BCC6-6D2D5A06E611}"/>
    <hyperlink ref="A187" r:id="rId369" display="https://fluxnet.org/sites/siteinfo/US-Bi1" xr:uid="{98021100-80DC-4123-AD77-10F971CBB342}"/>
    <hyperlink ref="B187" r:id="rId370" display="https://fluxnet.org/sites/siteinfo/US-Bi1" xr:uid="{0962953E-732A-4683-B11D-4FBA7609E09A}"/>
    <hyperlink ref="A188" r:id="rId371" display="https://fluxnet.org/sites/siteinfo/US-Bi2" xr:uid="{1F323DCB-AF36-4C12-9C00-DF59451ED73E}"/>
    <hyperlink ref="B188" r:id="rId372" display="https://fluxnet.org/sites/siteinfo/US-Bi2" xr:uid="{C7C7ADFF-5984-481F-9482-7240E288B60F}"/>
    <hyperlink ref="A189" r:id="rId373" display="https://fluxnet.org/sites/siteinfo/US-Blo" xr:uid="{4BBDE2EA-DB8C-49F9-9746-0306008FA525}"/>
    <hyperlink ref="B189" r:id="rId374" display="https://fluxnet.org/sites/siteinfo/US-Blo" xr:uid="{826BFEFE-9B79-4A5C-A4F0-27B2D31026EF}"/>
    <hyperlink ref="A190" r:id="rId375" display="https://fluxnet.org/sites/siteinfo/US-CRT" xr:uid="{2586B1F9-8EFF-46EE-B01A-97BEB865A6F8}"/>
    <hyperlink ref="B190" r:id="rId376" display="https://fluxnet.org/sites/siteinfo/US-CRT" xr:uid="{1896D3CB-40C7-46EC-82A6-9FB5FEA20D45}"/>
    <hyperlink ref="A191" r:id="rId377" display="https://fluxnet.org/sites/siteinfo/US-Cop" xr:uid="{95B707D0-4D04-4D06-8CE3-38A772ABAC38}"/>
    <hyperlink ref="B191" r:id="rId378" display="https://fluxnet.org/sites/siteinfo/US-Cop" xr:uid="{2E63C230-4404-49C7-BA41-468BF17C792F}"/>
    <hyperlink ref="A192" r:id="rId379" display="https://fluxnet.org/sites/siteinfo/US-DPW" xr:uid="{0005DEEA-CCAE-42E8-AAA0-328A3877D14C}"/>
    <hyperlink ref="B192" r:id="rId380" display="https://fluxnet.org/sites/siteinfo/US-DPW" xr:uid="{C6186443-449C-4CCC-9882-E97F57C6DCF0}"/>
    <hyperlink ref="A193" r:id="rId381" display="https://fluxnet.org/sites/siteinfo/US-EDN" xr:uid="{821AB137-1D98-4EA0-8406-D6D88252909D}"/>
    <hyperlink ref="B193" r:id="rId382" display="https://fluxnet.org/sites/siteinfo/US-EDN" xr:uid="{DAE76243-5057-44F6-81D3-234F71FB23D6}"/>
    <hyperlink ref="A194" r:id="rId383" display="https://fluxnet.org/sites/siteinfo/US-EML" xr:uid="{23D61A63-DECB-4F9B-86B3-A9F0819DC35E}"/>
    <hyperlink ref="B194" r:id="rId384" display="https://fluxnet.org/sites/siteinfo/US-EML" xr:uid="{873CC60D-EA07-4902-B572-F7B454861028}"/>
    <hyperlink ref="A195" r:id="rId385" display="https://fluxnet.org/sites/siteinfo/US-GBT" xr:uid="{C1962893-B941-42CB-B312-9C4168D16ED2}"/>
    <hyperlink ref="B195" r:id="rId386" display="https://fluxnet.org/sites/siteinfo/US-GBT" xr:uid="{6696DCBA-4E55-449B-9CBF-6FD086B0662E}"/>
    <hyperlink ref="A196" r:id="rId387" display="https://fluxnet.org/sites/siteinfo/US-GLE" xr:uid="{91C1AB58-EB02-4609-AF2B-194C360340DD}"/>
    <hyperlink ref="B196" r:id="rId388" display="https://fluxnet.org/sites/siteinfo/US-GLE" xr:uid="{6370390B-C151-4867-9ED6-90E02F6FE132}"/>
    <hyperlink ref="A197" r:id="rId389" display="https://fluxnet.org/sites/siteinfo/US-Goo" xr:uid="{1AF604CE-2585-4A85-9E55-0EF22CA7F36B}"/>
    <hyperlink ref="B197" r:id="rId390" display="https://fluxnet.org/sites/siteinfo/US-Goo" xr:uid="{ED524E8C-23CE-47B2-B631-BA0116DE729B}"/>
    <hyperlink ref="A198" r:id="rId391" display="https://fluxnet.org/sites/siteinfo/US-HRA" xr:uid="{F94274D5-CFFD-4FEF-BA6F-F87112795935}"/>
    <hyperlink ref="B198" r:id="rId392" display="https://fluxnet.org/sites/siteinfo/US-HRA" xr:uid="{348D833A-29B0-4A4F-8327-78C1CAD67559}"/>
    <hyperlink ref="A199" r:id="rId393" display="https://fluxnet.org/sites/siteinfo/US-HRC" xr:uid="{DA4A5024-2FA3-4B47-9F49-B23D935E1995}"/>
    <hyperlink ref="B199" r:id="rId394" display="https://fluxnet.org/sites/siteinfo/US-HRC" xr:uid="{49AD6208-807B-4FE3-B096-9D7D419B746B}"/>
    <hyperlink ref="A200" r:id="rId395" display="https://fluxnet.org/sites/siteinfo/US-Ha1" xr:uid="{613718F3-DB8D-4356-BDC7-E51415CFBE37}"/>
    <hyperlink ref="B200" r:id="rId396" display="https://fluxnet.org/sites/siteinfo/US-Ha1" xr:uid="{E3257E65-C032-429D-8FDB-56EC7C061AEA}"/>
    <hyperlink ref="A201" r:id="rId397" display="https://fluxnet.org/sites/siteinfo/US-Ho1" xr:uid="{6F8C6711-BDC1-441D-9F16-B36486E51B8F}"/>
    <hyperlink ref="B201" r:id="rId398" display="https://fluxnet.org/sites/siteinfo/US-Ho1" xr:uid="{D744297D-0B2C-4BAE-BA22-0015DC352CF9}"/>
    <hyperlink ref="A202" r:id="rId399" display="https://fluxnet.org/sites/siteinfo/US-IB2" xr:uid="{5DC63F03-5C27-4502-9BCE-CDEF9A7CF5A5}"/>
    <hyperlink ref="B202" r:id="rId400" display="https://fluxnet.org/sites/siteinfo/US-IB2" xr:uid="{34C069DD-27FE-4682-A66F-8604F38D126A}"/>
    <hyperlink ref="A203" r:id="rId401" display="https://fluxnet.org/sites/siteinfo/US-ICs" xr:uid="{EB14273D-DCBC-4D58-A1CB-236FA5B471C2}"/>
    <hyperlink ref="B203" r:id="rId402" display="https://fluxnet.org/sites/siteinfo/US-ICs" xr:uid="{4F17380B-05DB-46F4-92AE-67C56E7C83C4}"/>
    <hyperlink ref="A204" r:id="rId403" display="https://fluxnet.org/sites/siteinfo/US-Ivo" xr:uid="{2565A201-F7AE-4966-8648-F9B5CDFEC686}"/>
    <hyperlink ref="B204" r:id="rId404" display="https://fluxnet.org/sites/siteinfo/US-Ivo" xr:uid="{119F0744-15B3-4709-AA77-0D02826BCC74}"/>
    <hyperlink ref="A205" r:id="rId405" display="https://fluxnet.org/sites/siteinfo/US-KS1" xr:uid="{735678C7-85D5-4AFE-89D6-5E9EBFC8A7C7}"/>
    <hyperlink ref="B205" r:id="rId406" display="https://fluxnet.org/sites/siteinfo/US-KS1" xr:uid="{9A7C1D33-84A5-4ADD-8D62-6BC9B2E36890}"/>
    <hyperlink ref="A206" r:id="rId407" display="https://fluxnet.org/sites/siteinfo/US-KS2" xr:uid="{7B520292-03C6-4E4B-8F05-7D86AFE2D640}"/>
    <hyperlink ref="B206" r:id="rId408" display="https://fluxnet.org/sites/siteinfo/US-KS2" xr:uid="{8E22D28C-CC3F-414B-AE6B-FAB6E430EE0C}"/>
    <hyperlink ref="A207" r:id="rId409" display="https://fluxnet.org/sites/siteinfo/US-LA1" xr:uid="{6E617A50-9D45-4089-A8CD-E9554F491EDA}"/>
    <hyperlink ref="B207" r:id="rId410" display="https://fluxnet.org/sites/siteinfo/US-LA1" xr:uid="{B0141105-7261-4C7A-B295-4B83F71C23C5}"/>
    <hyperlink ref="A208" r:id="rId411" display="https://fluxnet.org/sites/siteinfo/US-LA2" xr:uid="{F6BB0451-2C63-4471-9273-0F01A7673694}"/>
    <hyperlink ref="B208" r:id="rId412" display="https://fluxnet.org/sites/siteinfo/US-LA2" xr:uid="{83B078E2-C4E4-4354-B537-761770A92BF4}"/>
    <hyperlink ref="A209" r:id="rId413" display="https://fluxnet.org/sites/siteinfo/US-LWW" xr:uid="{1F1544E7-97F8-486B-B551-5B2286709C41}"/>
    <hyperlink ref="B209" r:id="rId414" display="https://fluxnet.org/sites/siteinfo/US-LWW" xr:uid="{58213A3B-6965-451E-86AD-84C426C794A1}"/>
    <hyperlink ref="A210" r:id="rId415" display="https://fluxnet.org/sites/siteinfo/US-Lin" xr:uid="{73298B04-573B-44CA-B8E6-C5124050C6B3}"/>
    <hyperlink ref="B210" r:id="rId416" display="https://fluxnet.org/sites/siteinfo/US-Lin" xr:uid="{8B3B69E3-FE86-416B-B262-53DD314192ED}"/>
    <hyperlink ref="A211" r:id="rId417" display="https://fluxnet.org/sites/siteinfo/US-Los" xr:uid="{4AAF0C26-83E8-4C23-96D0-A8451BC1F734}"/>
    <hyperlink ref="B211" r:id="rId418" display="https://fluxnet.org/sites/siteinfo/US-Los" xr:uid="{8A593B9C-7D9B-4B18-987A-1F49BC58B68D}"/>
    <hyperlink ref="A212" r:id="rId419" display="https://fluxnet.org/sites/siteinfo/US-MAC" xr:uid="{0AC2DC01-220A-4723-8DC9-0DEA7DBDF4F8}"/>
    <hyperlink ref="B212" r:id="rId420" display="https://fluxnet.org/sites/siteinfo/US-MAC" xr:uid="{58F675E7-99BF-426C-8A7A-2108970133F0}"/>
    <hyperlink ref="A213" r:id="rId421" display="https://fluxnet.org/sites/siteinfo/US-MMS" xr:uid="{088186EB-0E9D-41B5-B61C-A8A88992374D}"/>
    <hyperlink ref="B213" r:id="rId422" display="https://fluxnet.org/sites/siteinfo/US-MMS" xr:uid="{92E50ACB-70E5-4266-B031-49D373A18533}"/>
    <hyperlink ref="A214" r:id="rId423" display="https://fluxnet.org/sites/siteinfo/US-MRM" xr:uid="{57A0E62C-CE6A-44FC-9750-0E9786990D63}"/>
    <hyperlink ref="B214" r:id="rId424" display="https://fluxnet.org/sites/siteinfo/US-MRM" xr:uid="{00ED0F69-AEC0-4978-8F87-338683CA6F8C}"/>
    <hyperlink ref="A215" r:id="rId425" display="https://fluxnet.org/sites/siteinfo/US-Me1" xr:uid="{93574FD2-F35F-42A0-BC9A-11F0FEEEE93A}"/>
    <hyperlink ref="B215" r:id="rId426" display="https://fluxnet.org/sites/siteinfo/US-Me1" xr:uid="{7B422E08-0020-461C-844A-9E878FDE340C}"/>
    <hyperlink ref="A216" r:id="rId427" display="https://fluxnet.org/sites/siteinfo/US-Me2" xr:uid="{B8938D37-E7E3-47BB-83F3-C681520A0F4F}"/>
    <hyperlink ref="B216" r:id="rId428" display="https://fluxnet.org/sites/siteinfo/US-Me2" xr:uid="{8D052586-5055-4597-B3BA-D9A31B8AD165}"/>
    <hyperlink ref="A217" r:id="rId429" display="https://fluxnet.org/sites/siteinfo/US-Me3" xr:uid="{663D294F-8189-4038-BAF1-C0CCECF36D02}"/>
    <hyperlink ref="B217" r:id="rId430" display="https://fluxnet.org/sites/siteinfo/US-Me3" xr:uid="{8745E6CD-D0C3-4575-A295-7DAAF3EC5EA2}"/>
    <hyperlink ref="A218" r:id="rId431" display="https://fluxnet.org/sites/siteinfo/US-Me4" xr:uid="{5F89FC52-61C0-44FD-919F-4799BBEA10A9}"/>
    <hyperlink ref="B218" r:id="rId432" display="https://fluxnet.org/sites/siteinfo/US-Me4" xr:uid="{E543A604-B6A3-428A-A18E-C5D3B6D6CA50}"/>
    <hyperlink ref="A219" r:id="rId433" display="https://fluxnet.org/sites/siteinfo/US-Me5" xr:uid="{0C4932B3-F310-4F3F-828C-520894830543}"/>
    <hyperlink ref="B219" r:id="rId434" display="https://fluxnet.org/sites/siteinfo/US-Me5" xr:uid="{2425B9D6-0A17-452A-BD9A-921CED4C46D3}"/>
    <hyperlink ref="A220" r:id="rId435" display="https://fluxnet.org/sites/siteinfo/US-Me6" xr:uid="{8A608445-3AD6-4520-93D9-2C78435DFF04}"/>
    <hyperlink ref="B220" r:id="rId436" display="https://fluxnet.org/sites/siteinfo/US-Me6" xr:uid="{E5FCD8BA-0332-481C-9884-39A44CF46E53}"/>
    <hyperlink ref="A221" r:id="rId437" display="https://fluxnet.org/sites/siteinfo/US-Myb" xr:uid="{BAF68662-F04A-4B4B-9C7D-2D2C8FCD7C51}"/>
    <hyperlink ref="B221" r:id="rId438" display="https://fluxnet.org/sites/siteinfo/US-Myb" xr:uid="{51781525-6F8F-4B80-9D31-95266A87F480}"/>
    <hyperlink ref="A222" r:id="rId439" display="https://fluxnet.org/sites/siteinfo/US-NC4" xr:uid="{0178AB27-3632-4000-BC8D-B8F17C5CE3FB}"/>
    <hyperlink ref="B222" r:id="rId440" display="https://fluxnet.org/sites/siteinfo/US-NC4" xr:uid="{5D4B5841-2D9E-4E00-9347-376AA799C379}"/>
    <hyperlink ref="A223" r:id="rId441" display="https://fluxnet.org/sites/siteinfo/US-NGB" xr:uid="{9EE66D73-E8A2-42D6-9325-7FE4E9CCE527}"/>
    <hyperlink ref="B223" r:id="rId442" display="https://fluxnet.org/sites/siteinfo/US-NGB" xr:uid="{6730860B-3E95-4F68-A3DF-1119D62D9E60}"/>
    <hyperlink ref="A224" r:id="rId443" display="https://fluxnet.org/sites/siteinfo/US-NGC" xr:uid="{22141B3D-BD42-43CA-871D-EE20AE9BC844}"/>
    <hyperlink ref="B224" r:id="rId444" display="https://fluxnet.org/sites/siteinfo/US-NGC" xr:uid="{AD22E6F7-818F-453B-8BE3-3ED4D81E6EBE}"/>
    <hyperlink ref="A225" r:id="rId445" display="https://fluxnet.org/sites/siteinfo/US-NR1" xr:uid="{DE8A8D4D-1290-4061-8E24-CF6131D0E1E2}"/>
    <hyperlink ref="B225" r:id="rId446" display="https://fluxnet.org/sites/siteinfo/US-NR1" xr:uid="{813D5482-A378-43F9-91CA-DC156F676088}"/>
    <hyperlink ref="A226" r:id="rId447" display="https://fluxnet.org/sites/siteinfo/US-Ne1" xr:uid="{97A29EF2-00A9-4BB5-AD1B-F63F5DCF129A}"/>
    <hyperlink ref="B226" r:id="rId448" display="https://fluxnet.org/sites/siteinfo/US-Ne1" xr:uid="{8123FE80-28CA-453F-9A82-F694EA8DFC3A}"/>
    <hyperlink ref="A227" r:id="rId449" display="https://fluxnet.org/sites/siteinfo/US-Ne2" xr:uid="{23A5ED82-8DFA-4249-A727-A4984C5D4A36}"/>
    <hyperlink ref="B227" r:id="rId450" display="https://fluxnet.org/sites/siteinfo/US-Ne2" xr:uid="{9F309115-EB0E-4CC3-862D-BEC4A6466C7B}"/>
    <hyperlink ref="A228" r:id="rId451" display="https://fluxnet.org/sites/siteinfo/US-Ne3" xr:uid="{6A699084-80CC-4E59-9ADF-CCE7DC70DA00}"/>
    <hyperlink ref="B228" r:id="rId452" display="https://fluxnet.org/sites/siteinfo/US-Ne3" xr:uid="{5E1A4424-5702-45D0-A4CB-844B8C01811E}"/>
    <hyperlink ref="A229" r:id="rId453" display="https://fluxnet.org/sites/siteinfo/US-ORv" xr:uid="{EE25ED3E-4265-4244-976D-44B46178B9F8}"/>
    <hyperlink ref="B229" r:id="rId454" display="https://fluxnet.org/sites/siteinfo/US-ORv" xr:uid="{9BFF7830-72A3-4A98-A56A-D6B4F914B92B}"/>
    <hyperlink ref="A230" r:id="rId455" display="https://fluxnet.org/sites/siteinfo/US-OWC" xr:uid="{633AA1CA-3BC9-45D7-A595-D532E0B05804}"/>
    <hyperlink ref="B230" r:id="rId456" display="https://fluxnet.org/sites/siteinfo/US-OWC" xr:uid="{F3A6B614-FD96-4E5D-8E61-6FA30928033F}"/>
    <hyperlink ref="A231" r:id="rId457" display="https://fluxnet.org/sites/siteinfo/US-Oho" xr:uid="{0AC5F2DA-DB0D-4B4C-A670-76D2B5D489E1}"/>
    <hyperlink ref="B231" r:id="rId458" display="https://fluxnet.org/sites/siteinfo/US-Oho" xr:uid="{1474B6D5-E219-4F82-98CE-2A60FF0D2762}"/>
    <hyperlink ref="A232" r:id="rId459" display="https://fluxnet.org/sites/siteinfo/US-PFa" xr:uid="{8C9107B9-5DE5-41BA-BB4F-E692A7862956}"/>
    <hyperlink ref="B232" r:id="rId460" display="https://fluxnet.org/sites/siteinfo/US-PFa" xr:uid="{E7C8B36E-7425-4A76-B8F4-80CAEB3E2AFA}"/>
    <hyperlink ref="A233" r:id="rId461" display="https://fluxnet.org/sites/siteinfo/US-Prr" xr:uid="{5799A9CE-F146-46F7-A7B1-E76EEED34F24}"/>
    <hyperlink ref="B233" r:id="rId462" display="https://fluxnet.org/sites/siteinfo/US-Prr" xr:uid="{EECD1219-6F9F-4DB1-9122-7BD184A69EDC}"/>
    <hyperlink ref="A234" r:id="rId463" display="https://fluxnet.org/sites/siteinfo/US-SRC" xr:uid="{8CFBB567-6CD5-4646-BA94-6B542A01E62B}"/>
    <hyperlink ref="B234" r:id="rId464" display="https://fluxnet.org/sites/siteinfo/US-SRC" xr:uid="{6D1A74CF-5097-4670-8861-4AEE82C1AC4E}"/>
    <hyperlink ref="A235" r:id="rId465" display="https://fluxnet.org/sites/siteinfo/US-SRG" xr:uid="{AED18DAD-1020-40AA-83D3-707FC8213434}"/>
    <hyperlink ref="B235" r:id="rId466" display="https://fluxnet.org/sites/siteinfo/US-SRG" xr:uid="{D9743097-98A5-465F-9BA4-87F812774D33}"/>
    <hyperlink ref="A236" r:id="rId467" display="https://fluxnet.org/sites/siteinfo/US-SRM" xr:uid="{AB01FE8F-EA9C-46D4-BE4D-B2E06A8845E5}"/>
    <hyperlink ref="B236" r:id="rId468" display="https://fluxnet.org/sites/siteinfo/US-SRM" xr:uid="{47EA09BF-3213-4601-A9DA-D4267D0A3991}"/>
    <hyperlink ref="A237" r:id="rId469" display="https://fluxnet.org/sites/siteinfo/US-Snd" xr:uid="{0625FC8D-42AC-4787-AF3C-B7D2FCDF7BEC}"/>
    <hyperlink ref="B237" r:id="rId470" display="https://fluxnet.org/sites/siteinfo/US-Snd" xr:uid="{FF03EC9D-DAE3-4947-A717-71F739353616}"/>
    <hyperlink ref="A238" r:id="rId471" display="https://fluxnet.org/sites/siteinfo/US-Sne" xr:uid="{2C87B1C8-0691-45B1-9CBB-9375D2A1D51A}"/>
    <hyperlink ref="B238" r:id="rId472" display="https://fluxnet.org/sites/siteinfo/US-Sne" xr:uid="{7871E2D9-09B9-4FFA-AE70-02F152A433EC}"/>
    <hyperlink ref="A239" r:id="rId473" display="https://fluxnet.org/sites/siteinfo/US-Srr" xr:uid="{C2632AEF-08C8-4CAB-A286-E8327CF490F1}"/>
    <hyperlink ref="B239" r:id="rId474" display="https://fluxnet.org/sites/siteinfo/US-Srr" xr:uid="{5BABA6A9-7EF5-409D-AAB6-6AB29A163E9E}"/>
    <hyperlink ref="A240" r:id="rId475" display="https://fluxnet.org/sites/siteinfo/US-StJ" xr:uid="{91806E5E-560D-4E0C-A3CB-017ACAFA8A90}"/>
    <hyperlink ref="B240" r:id="rId476" display="https://fluxnet.org/sites/siteinfo/US-StJ" xr:uid="{9554CD87-7566-4967-A50B-0B6050B14C85}"/>
    <hyperlink ref="A241" r:id="rId477" display="https://fluxnet.org/sites/siteinfo/US-Sta" xr:uid="{4A2F0F42-1C46-4E60-9B66-4B2AC89B9925}"/>
    <hyperlink ref="B241" r:id="rId478" display="https://fluxnet.org/sites/siteinfo/US-Sta" xr:uid="{1B01A714-0277-41AF-B1CA-2A86B7914C35}"/>
    <hyperlink ref="A242" r:id="rId479" display="https://fluxnet.org/sites/siteinfo/US-Syv" xr:uid="{0214C1AE-9054-4D32-89D7-A4473476CBCF}"/>
    <hyperlink ref="B242" r:id="rId480" display="https://fluxnet.org/sites/siteinfo/US-Syv" xr:uid="{12F4066B-4264-49FE-8048-6001EB56C39F}"/>
    <hyperlink ref="A243" r:id="rId481" display="https://fluxnet.org/sites/siteinfo/US-Ton" xr:uid="{1643B041-2761-42F8-9546-D9E4DFA48442}"/>
    <hyperlink ref="B243" r:id="rId482" display="https://fluxnet.org/sites/siteinfo/US-Ton" xr:uid="{3DF96F93-1A15-4B36-B863-CC7B49F8A53A}"/>
    <hyperlink ref="A244" r:id="rId483" display="https://fluxnet.org/sites/siteinfo/US-Tw1" xr:uid="{51038186-F36C-49B9-86DC-CECFA3F09F2F}"/>
    <hyperlink ref="B244" r:id="rId484" display="https://fluxnet.org/sites/siteinfo/US-Tw1" xr:uid="{13CBB42E-1DE8-4E37-A6EA-42E3CD216ACC}"/>
    <hyperlink ref="A245" r:id="rId485" display="https://fluxnet.org/sites/siteinfo/US-Tw2" xr:uid="{00FFF124-7DCD-4024-BF2B-2683F309B701}"/>
    <hyperlink ref="B245" r:id="rId486" display="https://fluxnet.org/sites/siteinfo/US-Tw2" xr:uid="{6C87D5EA-36F7-424A-9B95-45FA97B8EF93}"/>
    <hyperlink ref="A246" r:id="rId487" display="https://fluxnet.org/sites/siteinfo/US-Tw3" xr:uid="{F6B93AE3-5C09-4408-BDF5-3E3EA290E5CF}"/>
    <hyperlink ref="B246" r:id="rId488" display="https://fluxnet.org/sites/siteinfo/US-Tw3" xr:uid="{AC176939-F7F9-473C-BE53-A170870434B6}"/>
    <hyperlink ref="A247" r:id="rId489" display="https://fluxnet.org/sites/siteinfo/US-Tw4" xr:uid="{1A84850D-04F1-4BA7-9C34-2B91BB21D81A}"/>
    <hyperlink ref="B247" r:id="rId490" display="https://fluxnet.org/sites/siteinfo/US-Tw4" xr:uid="{4D6718E4-F26E-40BA-85F7-026847DFACF2}"/>
    <hyperlink ref="A248" r:id="rId491" display="https://fluxnet.org/sites/siteinfo/US-Tw5" xr:uid="{4638A4AC-3BB7-42A8-8C17-A7FDA3811F11}"/>
    <hyperlink ref="B248" r:id="rId492" display="https://fluxnet.org/sites/siteinfo/US-Tw5" xr:uid="{2345EE06-FD67-4607-932D-32F008F1D080}"/>
    <hyperlink ref="A249" r:id="rId493" display="https://fluxnet.org/sites/siteinfo/US-Twt" xr:uid="{0C83D647-4815-4181-A832-3C46E47E87A7}"/>
    <hyperlink ref="B249" r:id="rId494" display="https://fluxnet.org/sites/siteinfo/US-Twt" xr:uid="{829BEF22-D390-4CD5-AB8F-188E0B5D9452}"/>
    <hyperlink ref="A250" r:id="rId495" display="https://fluxnet.org/sites/siteinfo/US-UMB" xr:uid="{F9CF0567-DBDC-477D-A757-4721F9DF9C73}"/>
    <hyperlink ref="B250" r:id="rId496" display="https://fluxnet.org/sites/siteinfo/US-UMB" xr:uid="{7640A415-5F41-4097-8410-B0D7198D83B8}"/>
    <hyperlink ref="A251" r:id="rId497" display="https://fluxnet.org/sites/siteinfo/US-UMd" xr:uid="{8384775E-BF95-483B-85BA-2BBCBF41EF30}"/>
    <hyperlink ref="B251" r:id="rId498" display="https://fluxnet.org/sites/siteinfo/US-UMd" xr:uid="{B32DFF5A-BF0C-4B88-BEC4-D58393E364EA}"/>
    <hyperlink ref="A252" r:id="rId499" display="https://fluxnet.org/sites/siteinfo/US-Uaf" xr:uid="{2D7AA832-69BE-46E5-A930-5CFFDC770626}"/>
    <hyperlink ref="B252" r:id="rId500" display="https://fluxnet.org/sites/siteinfo/US-Uaf" xr:uid="{06C9941A-BCBC-45A8-9F76-194846401D74}"/>
    <hyperlink ref="A253" r:id="rId501" display="https://fluxnet.org/sites/siteinfo/US-Var" xr:uid="{E83C9085-EE88-41FB-B619-E84FC54D069D}"/>
    <hyperlink ref="B253" r:id="rId502" display="https://fluxnet.org/sites/siteinfo/US-Var" xr:uid="{24E3E081-9695-4CFF-A1EE-593730D8E7D5}"/>
    <hyperlink ref="A254" r:id="rId503" display="https://fluxnet.org/sites/siteinfo/US-WCr" xr:uid="{5A5D4D19-023A-4C27-8E24-9BEE1B658D3B}"/>
    <hyperlink ref="B254" r:id="rId504" display="https://fluxnet.org/sites/siteinfo/US-WCr" xr:uid="{0A8BEEF5-B5C3-4D43-A710-26DD61AACA18}"/>
    <hyperlink ref="A255" r:id="rId505" display="https://fluxnet.org/sites/siteinfo/US-WPT" xr:uid="{ECA1477E-4DF2-430F-A03B-6B2F1CC83A38}"/>
    <hyperlink ref="B255" r:id="rId506" display="https://fluxnet.org/sites/siteinfo/US-WPT" xr:uid="{47F034A0-8B6C-4750-BDC5-2B7754333AC2}"/>
    <hyperlink ref="A256" r:id="rId507" display="https://fluxnet.org/sites/siteinfo/US-Whs" xr:uid="{0770A65A-C4A4-4079-8A11-74A8F34DE0E6}"/>
    <hyperlink ref="B256" r:id="rId508" display="https://fluxnet.org/sites/siteinfo/US-Whs" xr:uid="{78AD66A3-BC81-4083-B161-C2A0255797E8}"/>
    <hyperlink ref="A257" r:id="rId509" display="https://fluxnet.org/sites/siteinfo/US-Wi0" xr:uid="{35429CC0-ECC5-46AF-81D4-D8AE36D6A614}"/>
    <hyperlink ref="B257" r:id="rId510" display="https://fluxnet.org/sites/siteinfo/US-Wi0" xr:uid="{0A01820E-6C29-4B8E-925D-D304D86575F4}"/>
    <hyperlink ref="A258" r:id="rId511" display="https://fluxnet.org/sites/siteinfo/US-Wi1" xr:uid="{BA690AB8-12A2-450C-950D-795772E1FDF3}"/>
    <hyperlink ref="B258" r:id="rId512" display="https://fluxnet.org/sites/siteinfo/US-Wi1" xr:uid="{0780CA2A-EF41-4377-B4E1-D40F3570B905}"/>
    <hyperlink ref="A259" r:id="rId513" display="https://fluxnet.org/sites/siteinfo/US-Wi2" xr:uid="{261E73AA-BBD9-40D5-A7E6-69F0A9409C80}"/>
    <hyperlink ref="B259" r:id="rId514" display="https://fluxnet.org/sites/siteinfo/US-Wi2" xr:uid="{CBD872D3-FCA5-4125-975A-72871CDF21A4}"/>
    <hyperlink ref="A260" r:id="rId515" display="https://fluxnet.org/sites/siteinfo/US-Wi3" xr:uid="{2BE026F8-F64A-4FCD-9435-529F0C796548}"/>
    <hyperlink ref="B260" r:id="rId516" display="https://fluxnet.org/sites/siteinfo/US-Wi3" xr:uid="{6E8A4EFD-2866-4CD8-9A99-1DB2976886E1}"/>
    <hyperlink ref="A261" r:id="rId517" display="https://fluxnet.org/sites/siteinfo/US-Wi4" xr:uid="{C72E38B5-5B05-4A2A-BDA9-EFA1E9F29528}"/>
    <hyperlink ref="B261" r:id="rId518" display="https://fluxnet.org/sites/siteinfo/US-Wi4" xr:uid="{A611BF6A-1A43-4D1E-B757-BE702AB2D21A}"/>
    <hyperlink ref="A262" r:id="rId519" display="https://fluxnet.org/sites/siteinfo/US-Wi5" xr:uid="{0A04A360-6760-4814-BFFB-9FA38089B86D}"/>
    <hyperlink ref="B262" r:id="rId520" display="https://fluxnet.org/sites/siteinfo/US-Wi5" xr:uid="{A438FDE9-40B4-41E1-BEBC-673155403E03}"/>
    <hyperlink ref="A263" r:id="rId521" display="https://fluxnet.org/sites/siteinfo/US-Wi6" xr:uid="{99472C93-5ECD-42A4-95EE-1B4533FE412B}"/>
    <hyperlink ref="B263" r:id="rId522" display="https://fluxnet.org/sites/siteinfo/US-Wi6" xr:uid="{7C59B10D-8630-4200-9400-64A8763ECC0E}"/>
    <hyperlink ref="A264" r:id="rId523" display="https://fluxnet.org/sites/siteinfo/US-Wi7" xr:uid="{B757B54E-382B-4601-9592-82ED942AF4A5}"/>
    <hyperlink ref="B264" r:id="rId524" display="https://fluxnet.org/sites/siteinfo/US-Wi7" xr:uid="{7045A217-C6C5-41F6-93C4-E9359B4FAF42}"/>
    <hyperlink ref="A265" r:id="rId525" display="https://fluxnet.org/sites/siteinfo/US-Wi8" xr:uid="{A48C4B3D-5AA9-42B9-BAAA-423D4DF4B4AB}"/>
    <hyperlink ref="B265" r:id="rId526" display="https://fluxnet.org/sites/siteinfo/US-Wi8" xr:uid="{1E789AAE-E095-413B-B38A-90A25FCF640F}"/>
    <hyperlink ref="A266" r:id="rId527" display="https://fluxnet.org/sites/siteinfo/US-Wi9" xr:uid="{515E8BFA-2DC3-4FE4-834B-F790ECE2D62A}"/>
    <hyperlink ref="B266" r:id="rId528" display="https://fluxnet.org/sites/siteinfo/US-Wi9" xr:uid="{2CD8B136-FC60-48CA-BA49-2DCC58C8470B}"/>
    <hyperlink ref="A267" r:id="rId529" display="https://fluxnet.org/sites/siteinfo/US-Wkg" xr:uid="{9BAAB618-DF61-49DB-BEE3-56E3C738CCA3}"/>
    <hyperlink ref="B267" r:id="rId530" display="https://fluxnet.org/sites/siteinfo/US-Wkg" xr:uid="{033422EB-47F5-4223-995A-65E85DAFC435}"/>
    <hyperlink ref="A268" r:id="rId531" display="https://fluxnet.org/sites/siteinfo/ZA-Kru" xr:uid="{7693E24C-302A-4334-92E1-FC4C0DF66575}"/>
    <hyperlink ref="B268" r:id="rId532" display="https://fluxnet.org/sites/siteinfo/ZA-Kru" xr:uid="{4BF94929-9E72-4FA6-8640-E1DB11A48BF5}"/>
    <hyperlink ref="A269" r:id="rId533" display="https://fluxnet.org/sites/siteinfo/ZM-Mon" xr:uid="{801BCC41-5C56-4B7B-A401-02EF34A2A4AD}"/>
    <hyperlink ref="B269" r:id="rId534" display="https://fluxnet.org/sites/siteinfo/ZM-Mon" xr:uid="{DB41EDBD-A194-49E5-947C-71A2BFD520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Koppen-Geiger</vt:lpstr>
      <vt:lpstr>272 sites</vt:lpstr>
      <vt:lpstr>AMF</vt:lpstr>
      <vt:lpstr>OzFlux</vt:lpstr>
      <vt:lpstr>ICOS</vt:lpstr>
      <vt:lpstr>FLUXNET2015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Bich Tran</cp:lastModifiedBy>
  <dcterms:created xsi:type="dcterms:W3CDTF">2024-12-13T02:40:12Z</dcterms:created>
  <dcterms:modified xsi:type="dcterms:W3CDTF">2025-10-24T07:32:53Z</dcterms:modified>
</cp:coreProperties>
</file>